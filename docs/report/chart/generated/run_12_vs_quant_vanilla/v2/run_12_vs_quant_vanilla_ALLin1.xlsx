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2838c491e40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in1" sheetId="1" r:id="R47e53e59612540ab"/>
    <x:sheet xmlns:r="http://schemas.openxmlformats.org/officeDocument/2006/relationships" name="Pair Data" sheetId="2" r:id="Ra95fc2c01c8d4c6e"/>
    <x:sheet xmlns:r="http://schemas.openxmlformats.org/officeDocument/2006/relationships" name="Notes" sheetId="3" r:id="Rc48e8c63261a46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"/>
    <x:numFmt numFmtId="201" formatCode="0.00%"/>
    <x:numFmt numFmtId="202" formatCode="0.0"/>
    <x:numFmt numFmtId="203" formatCode="0"/>
    <x:numFmt numFmtId="204" formatCode="0.00"/>
    <x:numFmt numFmtId="205" formatCode="0.00 &quot;pp&quot;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24313C"/>
      <x:name val="Carlito"/>
    </x:font>
    <x:font>
      <x:b/>
      <x:sz val="18"/>
      <x:color rgb="FFFFFFFF"/>
      <x:name val="Carlito"/>
    </x:font>
    <x:font>
      <x:sz val="11"/>
      <x:color rgb="FF667581"/>
      <x:name val="Carlito"/>
    </x:font>
    <x:font>
      <x:b/>
      <x:sz val="11"/>
      <x:color rgb="FF24313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66F89"/>
      </x:patternFill>
    </x:fill>
    <x:fill>
      <x:patternFill patternType="solid">
        <x:fgColor rgb="FF24313C"/>
      </x:patternFill>
    </x:fill>
    <x:fill>
      <x:patternFill patternType="solid">
        <x:fgColor rgb="FFF0F3F6"/>
      </x:patternFill>
    </x:fill>
  </x:fills>
  <x:borders count="8">
    <x:border/>
    <x:border>
      <x:left style="thin">
        <x:color rgb="FFB8C2CB"/>
      </x:left>
      <x:top style="thin">
        <x:color rgb="FFB8C2CB"/>
      </x:top>
      <x:bottom style="thin">
        <x:color rgb="FFB8C2CB"/>
      </x:bottom>
    </x:border>
    <x:border>
      <x:top style="thin">
        <x:color rgb="FFB8C2CB"/>
      </x:top>
      <x:bottom style="thin">
        <x:color rgb="FFB8C2CB"/>
      </x:bottom>
    </x:border>
    <x:border>
      <x:right style="thin">
        <x:color rgb="FFB8C2CB"/>
      </x:right>
      <x:top style="thin">
        <x:color rgb="FFB8C2CB"/>
      </x:top>
      <x:bottom style="thin">
        <x:color rgb="FFB8C2CB"/>
      </x:bottom>
    </x:border>
    <x:border>
      <x:bottom style="thin">
        <x:color rgb="FFD8DEE4"/>
      </x:bottom>
    </x:border>
    <x:border>
      <x:top style="thin">
        <x:color rgb="FFD8DEE4"/>
      </x:top>
      <x:bottom style="thin">
        <x:color rgb="FFD8DEE4"/>
      </x:bottom>
    </x:border>
    <x:border>
      <x:top style="thin">
        <x:color rgb="FFD8DEE4"/>
      </x:top>
    </x:border>
    <x:border>
      <x:top style="medium">
        <x:color rgb="FFB8C2CB"/>
      </x:top>
      <x:bottom style="thin">
        <x:color rgb="FFD8DEE4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200" fontId="2" fillId="0" borderId="4" xfId="0" applyNumberFormat="1" applyFont="1" applyFill="1" applyBorder="1"/>
    <x:xf numFmtId="200" fontId="2" fillId="0" borderId="5" xfId="0" applyNumberFormat="1" applyFont="1" applyFill="1" applyBorder="1"/>
    <x:xf numFmtId="200" fontId="2" fillId="0" borderId="6" xfId="0" applyNumberFormat="1" applyFont="1" applyFill="1" applyBorder="1"/>
    <x:xf numFmtId="201" fontId="2" fillId="0" borderId="4" xfId="0" applyNumberFormat="1" applyFont="1" applyFill="1" applyBorder="1"/>
    <x:xf numFmtId="201" fontId="2" fillId="0" borderId="5" xfId="0" applyNumberFormat="1" applyFont="1" applyFill="1" applyBorder="1"/>
    <x:xf numFmtId="201" fontId="2" fillId="0" borderId="6" xfId="0" applyNumberFormat="1" applyFont="1" applyFill="1" applyBorder="1"/>
    <x:xf numFmtId="202" fontId="2" fillId="0" borderId="4" xfId="0" applyNumberFormat="1" applyFont="1" applyFill="1" applyBorder="1"/>
    <x:xf numFmtId="202" fontId="2" fillId="0" borderId="5" xfId="0" applyNumberFormat="1" applyFont="1" applyFill="1" applyBorder="1"/>
    <x:xf numFmtId="202" fontId="2" fillId="0" borderId="6" xfId="0" applyNumberFormat="1" applyFont="1" applyFill="1" applyBorder="1"/>
    <x:xf numFmtId="203" fontId="2" fillId="0" borderId="4" xfId="0" applyNumberFormat="1" applyFont="1" applyFill="1" applyBorder="1"/>
    <x:xf numFmtId="203" fontId="2" fillId="0" borderId="5" xfId="0" applyNumberFormat="1" applyFont="1" applyFill="1" applyBorder="1"/>
    <x:xf numFmtId="203" fontId="2" fillId="0" borderId="6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0" fontId="2" fillId="4" borderId="6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5" fillId="4" borderId="7" xfId="0" applyNumberFormat="1" applyFont="1" applyFill="1" applyBorder="1" applyAlignment="1">
      <x:alignment vertical="center"/>
    </x:xf>
    <x:xf numFmtId="203" fontId="2" fillId="0" borderId="4" xfId="0" applyNumberFormat="1" applyFont="1" applyFill="1" applyBorder="1" applyAlignment="1">
      <x:alignment vertical="center"/>
    </x:xf>
    <x:xf numFmtId="203" fontId="2" fillId="0" borderId="5" xfId="0" applyNumberFormat="1" applyFont="1" applyFill="1" applyBorder="1" applyAlignment="1">
      <x:alignment vertical="center"/>
    </x:xf>
    <x:xf numFmtId="203" fontId="5" fillId="4" borderId="7" xfId="0" applyNumberFormat="1" applyFont="1" applyFill="1" applyBorder="1" applyAlignment="1">
      <x:alignment vertical="center"/>
    </x:xf>
    <x:xf numFmtId="203" fontId="5" fillId="4" borderId="5" xfId="0" applyNumberFormat="1" applyFont="1" applyFill="1" applyBorder="1" applyAlignment="1">
      <x:alignment vertical="center"/>
    </x:xf>
    <x:xf numFmtId="204" fontId="2" fillId="0" borderId="4" xfId="0" applyNumberFormat="1" applyFont="1" applyFill="1" applyBorder="1" applyAlignment="1">
      <x:alignment vertical="center"/>
    </x:xf>
    <x:xf numFmtId="204" fontId="2" fillId="0" borderId="5" xfId="0" applyNumberFormat="1" applyFont="1" applyFill="1" applyBorder="1" applyAlignment="1">
      <x:alignment vertical="center"/>
    </x:xf>
    <x:xf numFmtId="204" fontId="5" fillId="4" borderId="7" xfId="0" applyNumberFormat="1" applyFont="1" applyFill="1" applyBorder="1" applyAlignment="1">
      <x:alignment vertical="center"/>
    </x:xf>
    <x:xf numFmtId="204" fontId="5" fillId="4" borderId="5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5" fillId="4" borderId="7" xfId="0" applyNumberFormat="1" applyFont="1" applyFill="1" applyBorder="1" applyAlignment="1">
      <x:alignment vertical="center"/>
    </x:xf>
    <x:xf numFmtId="201" fontId="5" fillId="4" borderId="5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202" fontId="5" fillId="4" borderId="7" xfId="0" applyNumberFormat="1" applyFont="1" applyFill="1" applyBorder="1" applyAlignment="1">
      <x:alignment vertical="center"/>
    </x:xf>
    <x:xf numFmtId="202" fontId="5" fillId="4" borderId="5" xfId="0" applyNumberFormat="1" applyFont="1" applyFill="1" applyBorder="1" applyAlignment="1">
      <x:alignment vertical="center"/>
    </x:xf>
    <x:xf numFmtId="205" fontId="2" fillId="0" borderId="4" xfId="0" applyNumberFormat="1" applyFont="1" applyFill="1" applyBorder="1" applyAlignment="1">
      <x:alignment vertical="center"/>
    </x:xf>
    <x:xf numFmtId="205" fontId="2" fillId="0" borderId="5" xfId="0" applyNumberFormat="1" applyFont="1" applyFill="1" applyBorder="1" applyAlignment="1">
      <x:alignment vertical="center"/>
    </x:xf>
    <x:xf numFmtId="205" fontId="5" fillId="4" borderId="7" xfId="0" applyNumberFormat="1" applyFont="1" applyFill="1" applyBorder="1" applyAlignment="1">
      <x:alignment vertical="center"/>
    </x:xf>
    <x:xf numFmtId="205" fontId="5" fillId="4" borderId="5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1" fillId="2" borderId="4" xfId="0" applyNumberFormat="1" applyFont="1" applyFill="1" applyBorder="1"/>
    <x:xf numFmtId="0" fontId="5" fillId="4" borderId="5" xfId="0" applyNumberFormat="1" applyFont="1" applyFill="1" applyBorder="1"/>
    <x:xf numFmtId="0" fontId="0" fillId="0" borderId="5" xfId="0" applyNumberFormat="1" applyFont="1" applyFill="1" applyBorder="1"/>
    <x:xf numFmtId="0" fontId="5" fillId="4" borderId="6" xfId="0" applyNumberFormat="1" applyFont="1" applyFill="1" applyBorder="1"/>
    <x:xf numFmtId="0" fontId="0" fillId="0" borderId="6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color rgb="FF557A68"/>
      </x:font>
      <x:fill>
        <x:patternFill patternType="solid">
          <x:bgColor rgb="FFDFE9E3"/>
        </x:patternFill>
      </x:fill>
    </x:dxf>
    <x:dxf>
      <x:font>
        <x:color rgb="FF9A6262"/>
      </x:font>
      <x:fill>
        <x:patternFill patternType="solid">
          <x:bgColor rgb="FFF0DEDE"/>
        </x:patternFill>
      </x:fill>
    </x:dxf>
    <x:dxf>
      <x:font>
        <x:color rgb="FF557A68"/>
      </x:font>
      <x:fill>
        <x:patternFill patternType="solid">
          <x:bgColor rgb="FFDFE9E3"/>
        </x:patternFill>
      </x:fill>
    </x:dxf>
    <x:dxf>
      <x:font>
        <x:color rgb="FF557A68"/>
      </x:font>
      <x:fill>
        <x:patternFill patternType="solid">
          <x:bgColor rgb="FFDFE9E3"/>
        </x:patternFill>
      </x:fill>
    </x:dxf>
    <x:dxf>
      <x:font>
        <x:color rgb="FF9A6262"/>
      </x:font>
      <x:fill>
        <x:patternFill patternType="solid">
          <x:bgColor rgb="FFF0DE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1c423222564c10" /><Relationship Type="http://schemas.openxmlformats.org/officeDocument/2006/relationships/theme" Target="/xl/theme/theme1.xml" Id="R83227f74d8d64624" /><Relationship Type="http://schemas.openxmlformats.org/officeDocument/2006/relationships/sharedStrings" Target="/xl/sharedStrings.xml" Id="R6ae1b5f5daff4ea5" /><Relationship Type="http://schemas.openxmlformats.org/officeDocument/2006/relationships/worksheet" Target="/xl/worksheets/sheet1.xml" Id="R47e53e59612540ab" /><Relationship Type="http://schemas.openxmlformats.org/officeDocument/2006/relationships/worksheet" Target="/xl/worksheets/sheet2.xml" Id="Ra95fc2c01c8d4c6e" /><Relationship Type="http://schemas.openxmlformats.org/officeDocument/2006/relationships/worksheet" Target="/xl/worksheets/sheet3.xml" Id="Rc48e8c63261a46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6" hidden="0" customWidth="1"/>
    <x:col min="3" max="3" width="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5" hidden="0" customWidth="1"/>
    <x:col min="19" max="19" width="15" hidden="0" customWidth="1"/>
    <x:col min="20" max="20" width="15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38" hidden="0" customWidth="1"/>
  </x:cols>
  <x:sheetData>
    <x:row r="1" ht="28" customHeight="1">
      <x:c r="A1" s="30" t="str">
        <x:v>run_12 DTB vs 量化增训 Vanilla：ALLin1 汇总表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  <x:c r="AA1" s="30"/>
    </x:row>
    <x:row r="2" ht="28" customHeight="1">
      <x:c r="A2" s="33" t="str">
        <x:v>正向定义：E2E 为 量化增训 Vanilla - run_12 DTB；Token 不作比较（run_08 Token数包含思考与回答，run_12 Token数仅记录 final，不能直接比较。）；精度为 run_12 DTB - 量化增训 Vanilla。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  <x:c r="AA2" s="33"/>
    </x:row>
    <x:row r="3" ht="28" customHeight="1">
      <x:c r="A3" s="33" t="str">
        <x:v>来源：C:\Users\F-O-O\Projects\TB\docs\log\perf\run_08_quant&amp;post_train  vs  C:\Users\F-O-O\Projects\TB\docs\log\perf\run_12</x:v>
      </x:c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  <x:c r="AA3" s="33"/>
    </x:row>
    <x:row r="5" ht="42" customHeight="1">
      <x:c r="A5" s="9" t="str">
        <x:v>类型</x:v>
      </x:c>
      <x:c r="B5" s="10" t="str">
        <x:v>场景</x:v>
      </x:c>
      <x:c r="C5" s="10" t="str">
        <x:v>N</x:v>
      </x:c>
      <x:c r="D5" s="10" t="str">
        <x:v>量化增训 Vanilla 平均 E2E (s)</x:v>
      </x:c>
      <x:c r="E5" s="10" t="str">
        <x:v>run_12 DTB 平均 E2E (s)</x:v>
      </x:c>
      <x:c r="F5" s="10" t="str">
        <x:v>E2E 节省 (s)</x:v>
      </x:c>
      <x:c r="G5" s="10" t="str">
        <x:v>E2E 优化率</x:v>
      </x:c>
      <x:c r="H5" s="10" t="str">
        <x:v>更快请求数</x:v>
      </x:c>
      <x:c r="I5" s="10" t="str">
        <x:v>更快请求占比</x:v>
      </x:c>
      <x:c r="J5" s="10" t="str">
        <x:v>量化增训 Vanilla P50 (s)</x:v>
      </x:c>
      <x:c r="K5" s="10" t="str">
        <x:v>run_12 DTB P50 (s)</x:v>
      </x:c>
      <x:c r="L5" s="10" t="str">
        <x:v>量化增训 Vanilla P95 (s)</x:v>
      </x:c>
      <x:c r="M5" s="10" t="str">
        <x:v>run_12 DTB P95 (s)</x:v>
      </x:c>
      <x:c r="N5" s="10" t="str">
        <x:v>量化增训 Vanilla 平均 Token（原始字段）</x:v>
      </x:c>
      <x:c r="O5" s="10" t="str">
        <x:v>run_12 DTB 平均 Token（原始字段）</x:v>
      </x:c>
      <x:c r="P5" s="10" t="str">
        <x:v>Token 比较（不可比）</x:v>
      </x:c>
      <x:c r="Q5" s="10" t="str">
        <x:v>Token 比较率（不可比）</x:v>
      </x:c>
      <x:c r="R5" s="10" t="str">
        <x:v>量化增训 Vanilla Judge 正确率</x:v>
      </x:c>
      <x:c r="S5" s="10" t="str">
        <x:v>run_12 DTB Judge 正确率</x:v>
      </x:c>
      <x:c r="T5" s="10" t="str">
        <x:v>精度变化 (pp)</x:v>
      </x:c>
      <x:c r="U5" s="10" t="str">
        <x:v>量化增训 Vanilla 正确条目</x:v>
      </x:c>
      <x:c r="V5" s="10" t="str">
        <x:v>run_12 DTB 正确条目</x:v>
      </x:c>
      <x:c r="W5" s="10" t="str">
        <x:v>量化增训 Vanilla-only</x:v>
      </x:c>
      <x:c r="X5" s="10" t="str">
        <x:v>run_12 DTB-only</x:v>
      </x:c>
      <x:c r="Y5" s="10" t="str">
        <x:v>净正确条目</x:v>
      </x:c>
      <x:c r="Z5" s="10" t="str">
        <x:v>客户端错误</x:v>
      </x:c>
      <x:c r="AA5" s="11" t="str">
        <x:v>状态</x:v>
      </x:c>
    </x:row>
    <x:row r="6" ht="24" customHeight="1">
      <x:c r="A6" s="34" t="str">
        <x:v>SCENE</x:v>
      </x:c>
      <x:c r="B6" s="34" t="str">
        <x:v>KPI 配置保障</x:v>
      </x:c>
      <x:c r="C6" s="42" t="n">
        <x:f>ROWS('Pair Data'!$A$2:$A$10)</x:f>
        <x:v>9</x:v>
      </x:c>
      <x:c r="D6" s="46" t="n">
        <x:f>AVERAGE('Pair Data'!$C$2:$C$10)</x:f>
        <x:v>77.37979999999999</x:v>
      </x:c>
      <x:c r="E6" s="46" t="n">
        <x:f>AVERAGE('Pair Data'!$D$2:$D$10)</x:f>
        <x:v>44.49926666666667</x:v>
      </x:c>
      <x:c r="F6" s="46" t="n">
        <x:f>D6-E6</x:f>
        <x:v>32.88053333333332</x:v>
      </x:c>
      <x:c r="G6" s="50" t="n">
        <x:f>IFERROR(F6/D6,0)</x:f>
        <x:v>0.4249239896372609</x:v>
      </x:c>
      <x:c r="H6" s="42" t="n">
        <x:f>COUNTIF('Pair Data'!$E$2:$E$10,"&gt;0")</x:f>
        <x:v>9</x:v>
      </x:c>
      <x:c r="I6" s="50" t="n">
        <x:f>IFERROR(H6/C6,0)</x:f>
        <x:v>1</x:v>
      </x:c>
      <x:c r="J6" s="46" t="n">
        <x:f>MEDIAN('Pair Data'!$C$2:$C$10)</x:f>
        <x:v>79.0943</x:v>
      </x:c>
      <x:c r="K6" s="46" t="n">
        <x:f>MEDIAN('Pair Data'!$D$2:$D$10)</x:f>
        <x:v>48.2454</x:v>
      </x:c>
      <x:c r="L6" s="46" t="n">
        <x:f>PERCENTILE.INC('Pair Data'!$C$2:$C$10,0.95)</x:f>
        <x:v>98.42998</x:v>
      </x:c>
      <x:c r="M6" s="46" t="n">
        <x:f>PERCENTILE.INC('Pair Data'!$D$2:$D$10,0.95)</x:f>
        <x:v>57.06588</x:v>
      </x:c>
      <x:c r="N6" s="54" t="n">
        <x:f>AVERAGE('Pair Data'!$G$2:$G$10)</x:f>
        <x:v>1492.5555555555557</x:v>
      </x:c>
      <x:c r="O6" s="54" t="n">
        <x:f>AVERAGE('Pair Data'!$H$2:$H$10)</x:f>
        <x:v>186.66666666666666</x:v>
      </x:c>
      <x:c r="P6" s="54" t="str">
        <x:f>""</x:f>
      </x:c>
      <x:c r="Q6" s="50" t="str">
        <x:f>""</x:f>
      </x:c>
      <x:c r="R6" s="50" t="n">
        <x:f>SUM('Pair Data'!$K$2:$K$10)/C6</x:f>
        <x:v>1</x:v>
      </x:c>
      <x:c r="S6" s="50" t="n">
        <x:f>SUM('Pair Data'!$L$2:$L$10)/C6</x:f>
        <x:v>1</x:v>
      </x:c>
      <x:c r="T6" s="58" t="n">
        <x:f>(S6-R6)*100</x:f>
        <x:v>0</x:v>
      </x:c>
      <x:c r="U6" s="42" t="n">
        <x:f>SUM('Pair Data'!$K$2:$K$10)</x:f>
        <x:v>9</x:v>
      </x:c>
      <x:c r="V6" s="42" t="n">
        <x:f>SUM('Pair Data'!$L$2:$L$10)</x:f>
        <x:v>9</x:v>
      </x:c>
      <x:c r="W6" s="42" t="n">
        <x:f>COUNTIFS('Pair Data'!$K$2:$K$10,1,'Pair Data'!$L$2:$L$10,0)</x:f>
        <x:v>0</x:v>
      </x:c>
      <x:c r="X6" s="42" t="n">
        <x:f>COUNTIFS('Pair Data'!$K$2:$K$10,0,'Pair Data'!$L$2:$L$10,1)</x:f>
        <x:v>0</x:v>
      </x:c>
      <x:c r="Y6" s="42" t="n">
        <x:f>V6-U6</x:f>
        <x:v>0</x:v>
      </x:c>
      <x:c r="Z6" s="42" t="n">
        <x:f>SUM('Pair Data'!$N$2:$N$10)+SUM('Pair Data'!$O$2:$O$10)</x:f>
        <x:v>0</x:v>
      </x:c>
      <x:c r="AA6" s="34" t="str">
        <x:v>paired</x:v>
      </x:c>
    </x:row>
    <x:row r="7" ht="24" customHeight="1">
      <x:c r="A7" s="35" t="str">
        <x:v>SCENE</x:v>
      </x:c>
      <x:c r="B7" s="35" t="str">
        <x:v>投诉分类中文</x:v>
      </x:c>
      <x:c r="C7" s="43" t="n">
        <x:f>ROWS('Pair Data'!$A$11:$A$174)</x:f>
        <x:v>164</x:v>
      </x:c>
      <x:c r="D7" s="47" t="n">
        <x:f>AVERAGE('Pair Data'!$C$11:$C$174)</x:f>
        <x:v>56.53578963414635</x:v>
      </x:c>
      <x:c r="E7" s="47" t="n">
        <x:f>AVERAGE('Pair Data'!$D$11:$D$174)</x:f>
        <x:v>34.6696012195122</x:v>
      </x:c>
      <x:c r="F7" s="47" t="n">
        <x:f>D7-E7</x:f>
        <x:v>21.866188414634145</x:v>
      </x:c>
      <x:c r="G7" s="51" t="n">
        <x:f>IFERROR(F7/D7,0)</x:f>
        <x:v>0.38676718864518095</x:v>
      </x:c>
      <x:c r="H7" s="43" t="n">
        <x:f>COUNTIF('Pair Data'!$E$11:$E$174,"&gt;0")</x:f>
        <x:v>152</x:v>
      </x:c>
      <x:c r="I7" s="51" t="n">
        <x:f>IFERROR(H7/C7,0)</x:f>
        <x:v>0.926829268292683</x:v>
      </x:c>
      <x:c r="J7" s="47" t="n">
        <x:f>MEDIAN('Pair Data'!$C$11:$C$174)</x:f>
        <x:v>54.247550000000004</x:v>
      </x:c>
      <x:c r="K7" s="47" t="n">
        <x:f>MEDIAN('Pair Data'!$D$11:$D$174)</x:f>
        <x:v>30.9033</x:v>
      </x:c>
      <x:c r="L7" s="47" t="n">
        <x:f>PERCENTILE.INC('Pair Data'!$C$11:$C$174,0.95)</x:f>
        <x:v>75.148185</x:v>
      </x:c>
      <x:c r="M7" s="47" t="n">
        <x:f>PERCENTILE.INC('Pair Data'!$D$11:$D$174,0.95)</x:f>
        <x:v>64.25017999999999</x:v>
      </x:c>
      <x:c r="N7" s="55" t="n">
        <x:f>AVERAGE('Pair Data'!$G$11:$G$174)</x:f>
        <x:v>929.890243902439</x:v>
      </x:c>
      <x:c r="O7" s="55" t="n">
        <x:f>AVERAGE('Pair Data'!$H$11:$H$174)</x:f>
        <x:v>17.774390243902438</x:v>
      </x:c>
      <x:c r="P7" s="55" t="str">
        <x:f>""</x:f>
      </x:c>
      <x:c r="Q7" s="51" t="str">
        <x:f>""</x:f>
      </x:c>
      <x:c r="R7" s="51" t="n">
        <x:f>SUM('Pair Data'!$K$11:$K$174)/C7</x:f>
        <x:v>0.8414634146341463</x:v>
      </x:c>
      <x:c r="S7" s="51" t="n">
        <x:f>SUM('Pair Data'!$L$11:$L$174)/C7</x:f>
        <x:v>0.8658536585365854</x:v>
      </x:c>
      <x:c r="T7" s="59" t="n">
        <x:f>(S7-R7)*100</x:f>
        <x:v>2.4390243902439046</x:v>
      </x:c>
      <x:c r="U7" s="43" t="n">
        <x:f>SUM('Pair Data'!$K$11:$K$174)</x:f>
        <x:v>138</x:v>
      </x:c>
      <x:c r="V7" s="43" t="n">
        <x:f>SUM('Pair Data'!$L$11:$L$174)</x:f>
        <x:v>142</x:v>
      </x:c>
      <x:c r="W7" s="43" t="n">
        <x:f>COUNTIFS('Pair Data'!$K$11:$K$174,1,'Pair Data'!$L$11:$L$174,0)</x:f>
        <x:v>5</x:v>
      </x:c>
      <x:c r="X7" s="43" t="n">
        <x:f>COUNTIFS('Pair Data'!$K$11:$K$174,0,'Pair Data'!$L$11:$L$174,1)</x:f>
        <x:v>9</x:v>
      </x:c>
      <x:c r="Y7" s="43" t="n">
        <x:f>V7-U7</x:f>
        <x:v>4</x:v>
      </x:c>
      <x:c r="Z7" s="43" t="n">
        <x:f>SUM('Pair Data'!$N$11:$N$174)+SUM('Pair Data'!$O$11:$O$174)</x:f>
        <x:v>0</x:v>
      </x:c>
      <x:c r="AA7" s="35" t="str">
        <x:v>paired</x:v>
      </x:c>
    </x:row>
    <x:row r="8" ht="24" customHeight="1">
      <x:c r="A8" s="35" t="str">
        <x:v>SCENE</x:v>
      </x:c>
      <x:c r="B8" s="35" t="str">
        <x:v>事件自闭环</x:v>
      </x:c>
      <x:c r="C8" s="43" t="n">
        <x:f>ROWS('Pair Data'!$A$175:$A$199)</x:f>
        <x:v>25</x:v>
      </x:c>
      <x:c r="D8" s="47" t="n">
        <x:f>AVERAGE('Pair Data'!$C$175:$C$199)</x:f>
        <x:v>108.96064399999999</x:v>
      </x:c>
      <x:c r="E8" s="47" t="n">
        <x:f>AVERAGE('Pair Data'!$D$175:$D$199)</x:f>
        <x:v>76.14888400000001</x:v>
      </x:c>
      <x:c r="F8" s="47" t="n">
        <x:f>D8-E8</x:f>
        <x:v>32.81175999999998</x:v>
      </x:c>
      <x:c r="G8" s="51" t="n">
        <x:f>IFERROR(F8/D8,0)</x:f>
        <x:v>0.3011340498317905</x:v>
      </x:c>
      <x:c r="H8" s="43" t="n">
        <x:f>COUNTIF('Pair Data'!$E$175:$E$199,"&gt;0")</x:f>
        <x:v>21</x:v>
      </x:c>
      <x:c r="I8" s="51" t="n">
        <x:f>IFERROR(H8/C8,0)</x:f>
        <x:v>0.84</x:v>
      </x:c>
      <x:c r="J8" s="47" t="n">
        <x:f>MEDIAN('Pair Data'!$C$175:$C$199)</x:f>
        <x:v>97.0607</x:v>
      </x:c>
      <x:c r="K8" s="47" t="n">
        <x:f>MEDIAN('Pair Data'!$D$175:$D$199)</x:f>
        <x:v>69.8065</x:v>
      </x:c>
      <x:c r="L8" s="47" t="n">
        <x:f>PERCENTILE.INC('Pair Data'!$C$175:$C$199,0.95)</x:f>
        <x:v>198.44277999999997</x:v>
      </x:c>
      <x:c r="M8" s="47" t="n">
        <x:f>PERCENTILE.INC('Pair Data'!$D$175:$D$199,0.95)</x:f>
        <x:v>103.65018</x:v>
      </x:c>
      <x:c r="N8" s="55" t="n">
        <x:f>AVERAGE('Pair Data'!$G$175:$G$199)</x:f>
        <x:v>2066.04</x:v>
      </x:c>
      <x:c r="O8" s="55" t="n">
        <x:f>AVERAGE('Pair Data'!$H$175:$H$199)</x:f>
        <x:v>559.68</x:v>
      </x:c>
      <x:c r="P8" s="55" t="str">
        <x:f>""</x:f>
      </x:c>
      <x:c r="Q8" s="51" t="str">
        <x:f>""</x:f>
      </x:c>
      <x:c r="R8" s="51" t="n">
        <x:f>SUM('Pair Data'!$K$175:$K$199)/C8</x:f>
        <x:v>0.92</x:v>
      </x:c>
      <x:c r="S8" s="51" t="n">
        <x:f>SUM('Pair Data'!$L$175:$L$199)/C8</x:f>
        <x:v>0.88</x:v>
      </x:c>
      <x:c r="T8" s="59" t="n">
        <x:f>(S8-R8)*100</x:f>
        <x:v>-4.0000000000000036</x:v>
      </x:c>
      <x:c r="U8" s="43" t="n">
        <x:f>SUM('Pair Data'!$K$175:$K$199)</x:f>
        <x:v>23</x:v>
      </x:c>
      <x:c r="V8" s="43" t="n">
        <x:f>SUM('Pair Data'!$L$175:$L$199)</x:f>
        <x:v>22</x:v>
      </x:c>
      <x:c r="W8" s="43" t="n">
        <x:f>COUNTIFS('Pair Data'!$K$175:$K$199,1,'Pair Data'!$L$175:$L$199,0)</x:f>
        <x:v>2</x:v>
      </x:c>
      <x:c r="X8" s="43" t="n">
        <x:f>COUNTIFS('Pair Data'!$K$175:$K$199,0,'Pair Data'!$L$175:$L$199,1)</x:f>
        <x:v>1</x:v>
      </x:c>
      <x:c r="Y8" s="43" t="n">
        <x:f>V8-U8</x:f>
        <x:v>-1</x:v>
      </x:c>
      <x:c r="Z8" s="43" t="n">
        <x:f>SUM('Pair Data'!$N$175:$N$199)+SUM('Pair Data'!$O$175:$O$199)</x:f>
        <x:v>0</x:v>
      </x:c>
      <x:c r="AA8" s="35" t="str">
        <x:v>paired</x:v>
      </x:c>
    </x:row>
    <x:row r="9" ht="24" customHeight="1">
      <x:c r="A9" s="35" t="str">
        <x:v>SCENE</x:v>
      </x:c>
      <x:c r="B9" s="35" t="str">
        <x:v>投诉分类英文</x:v>
      </x:c>
      <x:c r="C9" s="43" t="n">
        <x:f>ROWS('Pair Data'!$A$200:$A$219)</x:f>
        <x:v>20</x:v>
      </x:c>
      <x:c r="D9" s="47" t="n">
        <x:f>AVERAGE('Pair Data'!$C$200:$C$219)</x:f>
        <x:v>47.18002499999999</x:v>
      </x:c>
      <x:c r="E9" s="47" t="n">
        <x:f>AVERAGE('Pair Data'!$D$200:$D$219)</x:f>
        <x:v>35.4599</x:v>
      </x:c>
      <x:c r="F9" s="47" t="n">
        <x:f>D9-E9</x:f>
        <x:v>11.720124999999996</x:v>
      </x:c>
      <x:c r="G9" s="51" t="n">
        <x:f>IFERROR(F9/D9,0)</x:f>
        <x:v>0.2484128611631723</x:v>
      </x:c>
      <x:c r="H9" s="43" t="n">
        <x:f>COUNTIF('Pair Data'!$E$200:$E$219,"&gt;0")</x:f>
        <x:v>14</x:v>
      </x:c>
      <x:c r="I9" s="51" t="n">
        <x:f>IFERROR(H9/C9,0)</x:f>
        <x:v>0.7</x:v>
      </x:c>
      <x:c r="J9" s="47" t="n">
        <x:f>MEDIAN('Pair Data'!$C$200:$C$219)</x:f>
        <x:v>46.4346</x:v>
      </x:c>
      <x:c r="K9" s="47" t="n">
        <x:f>MEDIAN('Pair Data'!$D$200:$D$219)</x:f>
        <x:v>29.591</x:v>
      </x:c>
      <x:c r="L9" s="47" t="n">
        <x:f>PERCENTILE.INC('Pair Data'!$C$200:$C$219,0.95)</x:f>
        <x:v>63.38171500000001</x:v>
      </x:c>
      <x:c r="M9" s="47" t="n">
        <x:f>PERCENTILE.INC('Pair Data'!$D$200:$D$219,0.95)</x:f>
        <x:v>57.71612500000001</x:v>
      </x:c>
      <x:c r="N9" s="55" t="n">
        <x:f>AVERAGE('Pair Data'!$G$200:$G$219)</x:f>
        <x:v>879.05</x:v>
      </x:c>
      <x:c r="O9" s="55" t="n">
        <x:f>AVERAGE('Pair Data'!$H$200:$H$219)</x:f>
        <x:v>13.85</x:v>
      </x:c>
      <x:c r="P9" s="55" t="str">
        <x:f>""</x:f>
      </x:c>
      <x:c r="Q9" s="51" t="str">
        <x:f>""</x:f>
      </x:c>
      <x:c r="R9" s="51" t="n">
        <x:f>SUM('Pair Data'!$K$200:$K$219)/C9</x:f>
        <x:v>1</x:v>
      </x:c>
      <x:c r="S9" s="51" t="n">
        <x:f>SUM('Pair Data'!$L$200:$L$219)/C9</x:f>
        <x:v>1</x:v>
      </x:c>
      <x:c r="T9" s="59" t="n">
        <x:f>(S9-R9)*100</x:f>
        <x:v>0</x:v>
      </x:c>
      <x:c r="U9" s="43" t="n">
        <x:f>SUM('Pair Data'!$K$200:$K$219)</x:f>
        <x:v>20</x:v>
      </x:c>
      <x:c r="V9" s="43" t="n">
        <x:f>SUM('Pair Data'!$L$200:$L$219)</x:f>
        <x:v>20</x:v>
      </x:c>
      <x:c r="W9" s="43" t="n">
        <x:f>COUNTIFS('Pair Data'!$K$200:$K$219,1,'Pair Data'!$L$200:$L$219,0)</x:f>
        <x:v>0</x:v>
      </x:c>
      <x:c r="X9" s="43" t="n">
        <x:f>COUNTIFS('Pair Data'!$K$200:$K$219,0,'Pair Data'!$L$200:$L$219,1)</x:f>
        <x:v>0</x:v>
      </x:c>
      <x:c r="Y9" s="43" t="n">
        <x:f>V9-U9</x:f>
        <x:v>0</x:v>
      </x:c>
      <x:c r="Z9" s="43" t="n">
        <x:f>SUM('Pair Data'!$N$200:$N$219)+SUM('Pair Data'!$O$200:$O$219)</x:f>
        <x:v>0</x:v>
      </x:c>
      <x:c r="AA9" s="35" t="str">
        <x:v>paired</x:v>
      </x:c>
    </x:row>
    <x:row r="10" ht="24" customHeight="1">
      <x:c r="A10" s="35" t="str">
        <x:v>SCENE</x:v>
      </x:c>
      <x:c r="B10" s="35" t="str">
        <x:v>告警诊断结论总结</x:v>
      </x:c>
      <x:c r="C10" s="43" t="n">
        <x:f>ROWS('Pair Data'!$A$220:$A$232)</x:f>
        <x:v>13</x:v>
      </x:c>
      <x:c r="D10" s="47" t="n">
        <x:f>AVERAGE('Pair Data'!$C$220:$C$232)</x:f>
        <x:v>104.9860923076923</x:v>
      </x:c>
      <x:c r="E10" s="47" t="n">
        <x:f>AVERAGE('Pair Data'!$D$220:$D$232)</x:f>
        <x:v>98.61809230769232</x:v>
      </x:c>
      <x:c r="F10" s="47" t="n">
        <x:f>D10-E10</x:f>
        <x:v>6.367999999999981</x:v>
      </x:c>
      <x:c r="G10" s="51" t="n">
        <x:f>IFERROR(F10/D10,0)</x:f>
        <x:v>0.060655653144387006</x:v>
      </x:c>
      <x:c r="H10" s="43" t="n">
        <x:f>COUNTIF('Pair Data'!$E$220:$E$232,"&gt;0")</x:f>
        <x:v>8</x:v>
      </x:c>
      <x:c r="I10" s="51" t="n">
        <x:f>IFERROR(H10/C10,0)</x:f>
        <x:v>0.6153846153846154</x:v>
      </x:c>
      <x:c r="J10" s="47" t="n">
        <x:f>MEDIAN('Pair Data'!$C$220:$C$232)</x:f>
        <x:v>110.3657</x:v>
      </x:c>
      <x:c r="K10" s="47" t="n">
        <x:f>MEDIAN('Pair Data'!$D$220:$D$232)</x:f>
        <x:v>103.5201</x:v>
      </x:c>
      <x:c r="L10" s="47" t="n">
        <x:f>PERCENTILE.INC('Pair Data'!$C$220:$C$232,0.95)</x:f>
        <x:v>124.57314</x:v>
      </x:c>
      <x:c r="M10" s="47" t="n">
        <x:f>PERCENTILE.INC('Pair Data'!$D$220:$D$232,0.95)</x:f>
        <x:v>115.7577</x:v>
      </x:c>
      <x:c r="N10" s="55" t="n">
        <x:f>AVERAGE('Pair Data'!$G$220:$G$232)</x:f>
        <x:v>1992.7692307692307</x:v>
      </x:c>
      <x:c r="O10" s="55" t="n">
        <x:f>AVERAGE('Pair Data'!$H$220:$H$232)</x:f>
        <x:v>185.3846153846154</x:v>
      </x:c>
      <x:c r="P10" s="55" t="str">
        <x:f>""</x:f>
      </x:c>
      <x:c r="Q10" s="51" t="str">
        <x:f>""</x:f>
      </x:c>
      <x:c r="R10" s="51" t="n">
        <x:f>SUM('Pair Data'!$K$220:$K$232)/C10</x:f>
        <x:v>1</x:v>
      </x:c>
      <x:c r="S10" s="51" t="n">
        <x:f>SUM('Pair Data'!$L$220:$L$232)/C10</x:f>
        <x:v>1</x:v>
      </x:c>
      <x:c r="T10" s="59" t="n">
        <x:f>(S10-R10)*100</x:f>
        <x:v>0</x:v>
      </x:c>
      <x:c r="U10" s="43" t="n">
        <x:f>SUM('Pair Data'!$K$220:$K$232)</x:f>
        <x:v>13</x:v>
      </x:c>
      <x:c r="V10" s="43" t="n">
        <x:f>SUM('Pair Data'!$L$220:$L$232)</x:f>
        <x:v>13</x:v>
      </x:c>
      <x:c r="W10" s="43" t="n">
        <x:f>COUNTIFS('Pair Data'!$K$220:$K$232,1,'Pair Data'!$L$220:$L$232,0)</x:f>
        <x:v>0</x:v>
      </x:c>
      <x:c r="X10" s="43" t="n">
        <x:f>COUNTIFS('Pair Data'!$K$220:$K$232,0,'Pair Data'!$L$220:$L$232,1)</x:f>
        <x:v>0</x:v>
      </x:c>
      <x:c r="Y10" s="43" t="n">
        <x:f>V10-U10</x:f>
        <x:v>0</x:v>
      </x:c>
      <x:c r="Z10" s="43" t="n">
        <x:f>SUM('Pair Data'!$N$220:$N$232)+SUM('Pair Data'!$O$220:$O$232)</x:f>
        <x:v>0</x:v>
      </x:c>
      <x:c r="AA10" s="35" t="str">
        <x:v>paired</x:v>
      </x:c>
    </x:row>
    <x:row r="11" ht="24" customHeight="1">
      <x:c r="A11" s="35" t="str">
        <x:v>SCENE</x:v>
      </x:c>
      <x:c r="B11" s="35" t="str">
        <x:v>NetQAD E2E 单步规划</x:v>
      </x:c>
      <x:c r="C11" s="43" t="n">
        <x:f>ROWS('Pair Data'!$A$233:$A$312)</x:f>
        <x:v>80</x:v>
      </x:c>
      <x:c r="D11" s="47" t="n">
        <x:f>AVERAGE('Pair Data'!$C$233:$C$312)</x:f>
        <x:v>61.019684999999996</x:v>
      </x:c>
      <x:c r="E11" s="47" t="n">
        <x:f>AVERAGE('Pair Data'!$D$233:$D$312)</x:f>
        <x:v>57.71638375</x:v>
      </x:c>
      <x:c r="F11" s="47" t="n">
        <x:f>D11-E11</x:f>
        <x:v>3.303301249999997</x:v>
      </x:c>
      <x:c r="G11" s="51" t="n">
        <x:f>IFERROR(F11/D11,0)</x:f>
        <x:v>0.05413500987427249</x:v>
      </x:c>
      <x:c r="H11" s="43" t="n">
        <x:f>COUNTIF('Pair Data'!$E$233:$E$312,"&gt;0")</x:f>
        <x:v>49</x:v>
      </x:c>
      <x:c r="I11" s="51" t="n">
        <x:f>IFERROR(H11/C11,0)</x:f>
        <x:v>0.6125</x:v>
      </x:c>
      <x:c r="J11" s="47" t="n">
        <x:f>MEDIAN('Pair Data'!$C$233:$C$312)</x:f>
        <x:v>61.815200000000004</x:v>
      </x:c>
      <x:c r="K11" s="47" t="n">
        <x:f>MEDIAN('Pair Data'!$D$233:$D$312)</x:f>
        <x:v>56.5374</x:v>
      </x:c>
      <x:c r="L11" s="47" t="n">
        <x:f>PERCENTILE.INC('Pair Data'!$C$233:$C$312,0.95)</x:f>
        <x:v>70.73822</x:v>
      </x:c>
      <x:c r="M11" s="47" t="n">
        <x:f>PERCENTILE.INC('Pair Data'!$D$233:$D$312,0.95)</x:f>
        <x:v>84.28032</x:v>
      </x:c>
      <x:c r="N11" s="55" t="n">
        <x:f>AVERAGE('Pair Data'!$G$233:$G$312)</x:f>
        <x:v>1025.55</x:v>
      </x:c>
      <x:c r="O11" s="55" t="n">
        <x:f>AVERAGE('Pair Data'!$H$233:$H$312)</x:f>
        <x:v>101.6875</x:v>
      </x:c>
      <x:c r="P11" s="55" t="str">
        <x:f>""</x:f>
      </x:c>
      <x:c r="Q11" s="51" t="str">
        <x:f>""</x:f>
      </x:c>
      <x:c r="R11" s="51" t="n">
        <x:f>SUM('Pair Data'!$K$233:$K$312)/C11</x:f>
        <x:v>1</x:v>
      </x:c>
      <x:c r="S11" s="51" t="n">
        <x:f>SUM('Pair Data'!$L$233:$L$312)/C11</x:f>
        <x:v>1</x:v>
      </x:c>
      <x:c r="T11" s="59" t="n">
        <x:f>(S11-R11)*100</x:f>
        <x:v>0</x:v>
      </x:c>
      <x:c r="U11" s="43" t="n">
        <x:f>SUM('Pair Data'!$K$233:$K$312)</x:f>
        <x:v>80</x:v>
      </x:c>
      <x:c r="V11" s="43" t="n">
        <x:f>SUM('Pair Data'!$L$233:$L$312)</x:f>
        <x:v>80</x:v>
      </x:c>
      <x:c r="W11" s="43" t="n">
        <x:f>COUNTIFS('Pair Data'!$K$233:$K$312,1,'Pair Data'!$L$233:$L$312,0)</x:f>
        <x:v>0</x:v>
      </x:c>
      <x:c r="X11" s="43" t="n">
        <x:f>COUNTIFS('Pair Data'!$K$233:$K$312,0,'Pair Data'!$L$233:$L$312,1)</x:f>
        <x:v>0</x:v>
      </x:c>
      <x:c r="Y11" s="43" t="n">
        <x:f>V11-U11</x:f>
        <x:v>0</x:v>
      </x:c>
      <x:c r="Z11" s="43" t="n">
        <x:f>SUM('Pair Data'!$N$233:$N$312)+SUM('Pair Data'!$O$233:$O$312)</x:f>
        <x:v>0</x:v>
      </x:c>
      <x:c r="AA11" s="35" t="str">
        <x:v>paired</x:v>
      </x:c>
    </x:row>
    <x:row r="12" ht="24" customHeight="1">
      <x:c r="A12" s="35" t="str">
        <x:v>SCENE</x:v>
      </x:c>
      <x:c r="B12" s="35" t="str">
        <x:v>ReAct 白盒整体规划</x:v>
      </x:c>
      <x:c r="C12" s="43" t="n">
        <x:f>ROWS('Pair Data'!$A$313:$A$328)</x:f>
        <x:v>16</x:v>
      </x:c>
      <x:c r="D12" s="47" t="n">
        <x:f>AVERAGE('Pair Data'!$C$313:$C$328)</x:f>
        <x:v>102.272525</x:v>
      </x:c>
      <x:c r="E12" s="47" t="n">
        <x:f>AVERAGE('Pair Data'!$D$313:$D$328)</x:f>
        <x:v>98.87351875</x:v>
      </x:c>
      <x:c r="F12" s="47" t="n">
        <x:f>D12-E12</x:f>
        <x:v>3.3990062499999993</x:v>
      </x:c>
      <x:c r="G12" s="51" t="n">
        <x:f>IFERROR(F12/D12,0)</x:f>
        <x:v>0.03323479350881382</x:v>
      </x:c>
      <x:c r="H12" s="43" t="n">
        <x:f>COUNTIF('Pair Data'!$E$313:$E$328,"&gt;0")</x:f>
        <x:v>7</x:v>
      </x:c>
      <x:c r="I12" s="51" t="n">
        <x:f>IFERROR(H12/C12,0)</x:f>
        <x:v>0.4375</x:v>
      </x:c>
      <x:c r="J12" s="47" t="n">
        <x:f>MEDIAN('Pair Data'!$C$313:$C$328)</x:f>
        <x:v>99.8792</x:v>
      </x:c>
      <x:c r="K12" s="47" t="n">
        <x:f>MEDIAN('Pair Data'!$D$313:$D$328)</x:f>
        <x:v>98.16675000000001</x:v>
      </x:c>
      <x:c r="L12" s="47" t="n">
        <x:f>PERCENTILE.INC('Pair Data'!$C$313:$C$328,0.95)</x:f>
        <x:v>135.2437</x:v>
      </x:c>
      <x:c r="M12" s="47" t="n">
        <x:f>PERCENTILE.INC('Pair Data'!$D$313:$D$328,0.95)</x:f>
        <x:v>138.672425</x:v>
      </x:c>
      <x:c r="N12" s="55" t="n">
        <x:f>AVERAGE('Pair Data'!$G$313:$G$328)</x:f>
        <x:v>1667.625</x:v>
      </x:c>
      <x:c r="O12" s="55" t="n">
        <x:f>AVERAGE('Pair Data'!$H$313:$H$328)</x:f>
        <x:v>231.125</x:v>
      </x:c>
      <x:c r="P12" s="55" t="str">
        <x:f>""</x:f>
      </x:c>
      <x:c r="Q12" s="51" t="str">
        <x:f>""</x:f>
      </x:c>
      <x:c r="R12" s="51" t="n">
        <x:f>SUM('Pair Data'!$K$313:$K$328)/C12</x:f>
        <x:v>0.75</x:v>
      </x:c>
      <x:c r="S12" s="51" t="n">
        <x:f>SUM('Pair Data'!$L$313:$L$328)/C12</x:f>
        <x:v>0.6875</x:v>
      </x:c>
      <x:c r="T12" s="59" t="n">
        <x:f>(S12-R12)*100</x:f>
        <x:v>-6.25</x:v>
      </x:c>
      <x:c r="U12" s="43" t="n">
        <x:f>SUM('Pair Data'!$K$313:$K$328)</x:f>
        <x:v>12</x:v>
      </x:c>
      <x:c r="V12" s="43" t="n">
        <x:f>SUM('Pair Data'!$L$313:$L$328)</x:f>
        <x:v>11</x:v>
      </x:c>
      <x:c r="W12" s="43" t="n">
        <x:f>COUNTIFS('Pair Data'!$K$313:$K$328,1,'Pair Data'!$L$313:$L$328,0)</x:f>
        <x:v>3</x:v>
      </x:c>
      <x:c r="X12" s="43" t="n">
        <x:f>COUNTIFS('Pair Data'!$K$313:$K$328,0,'Pair Data'!$L$313:$L$328,1)</x:f>
        <x:v>2</x:v>
      </x:c>
      <x:c r="Y12" s="43" t="n">
        <x:f>V12-U12</x:f>
        <x:v>-1</x:v>
      </x:c>
      <x:c r="Z12" s="43" t="n">
        <x:f>SUM('Pair Data'!$N$313:$N$328)+SUM('Pair Data'!$O$313:$O$328)</x:f>
        <x:v>0</x:v>
      </x:c>
      <x:c r="AA12" s="35" t="str">
        <x:v>paired</x:v>
      </x:c>
    </x:row>
    <x:row r="13" ht="24" customHeight="1">
      <x:c r="A13" s="35" t="str">
        <x:v>SCENE</x:v>
      </x:c>
      <x:c r="B13" s="35" t="str">
        <x:v>投诉助理工具调用</x:v>
      </x:c>
      <x:c r="C13" s="43" t="n">
        <x:f>ROWS('Pair Data'!$A$329:$A$367)</x:f>
        <x:v>39</x:v>
      </x:c>
      <x:c r="D13" s="47" t="n">
        <x:f>AVERAGE('Pair Data'!$C$329:$C$367)</x:f>
        <x:v>71.15451794871798</x:v>
      </x:c>
      <x:c r="E13" s="47" t="n">
        <x:f>AVERAGE('Pair Data'!$D$329:$D$367)</x:f>
        <x:v>68.82529743589745</x:v>
      </x:c>
      <x:c r="F13" s="47" t="n">
        <x:f>D13-E13</x:f>
        <x:v>2.329220512820527</x:v>
      </x:c>
      <x:c r="G13" s="51" t="n">
        <x:f>IFERROR(F13/D13,0)</x:f>
        <x:v>0.03273468192840864</x:v>
      </x:c>
      <x:c r="H13" s="43" t="n">
        <x:f>COUNTIF('Pair Data'!$E$329:$E$367,"&gt;0")</x:f>
        <x:v>26</x:v>
      </x:c>
      <x:c r="I13" s="51" t="n">
        <x:f>IFERROR(H13/C13,0)</x:f>
        <x:v>0.6666666666666666</x:v>
      </x:c>
      <x:c r="J13" s="47" t="n">
        <x:f>MEDIAN('Pair Data'!$C$329:$C$367)</x:f>
        <x:v>71.2025</x:v>
      </x:c>
      <x:c r="K13" s="47" t="n">
        <x:f>MEDIAN('Pair Data'!$D$329:$D$367)</x:f>
        <x:v>70.1721</x:v>
      </x:c>
      <x:c r="L13" s="47" t="n">
        <x:f>PERCENTILE.INC('Pair Data'!$C$329:$C$367,0.95)</x:f>
        <x:v>91.87849000000001</x:v>
      </x:c>
      <x:c r="M13" s="47" t="n">
        <x:f>PERCENTILE.INC('Pair Data'!$D$329:$D$367,0.95)</x:f>
        <x:v>73.91157</x:v>
      </x:c>
      <x:c r="N13" s="55" t="n">
        <x:f>AVERAGE('Pair Data'!$G$329:$G$367)</x:f>
        <x:v>1289.8461538461538</x:v>
      </x:c>
      <x:c r="O13" s="55" t="n">
        <x:f>AVERAGE('Pair Data'!$H$329:$H$367)</x:f>
        <x:v>101.87179487179488</x:v>
      </x:c>
      <x:c r="P13" s="55" t="str">
        <x:f>""</x:f>
      </x:c>
      <x:c r="Q13" s="51" t="str">
        <x:f>""</x:f>
      </x:c>
      <x:c r="R13" s="51" t="n">
        <x:f>SUM('Pair Data'!$K$329:$K$367)/C13</x:f>
        <x:v>0.9487179487179487</x:v>
      </x:c>
      <x:c r="S13" s="51" t="n">
        <x:f>SUM('Pair Data'!$L$329:$L$367)/C13</x:f>
        <x:v>0.9487179487179487</x:v>
      </x:c>
      <x:c r="T13" s="59" t="n">
        <x:f>(S13-R13)*100</x:f>
        <x:v>0</x:v>
      </x:c>
      <x:c r="U13" s="43" t="n">
        <x:f>SUM('Pair Data'!$K$329:$K$367)</x:f>
        <x:v>37</x:v>
      </x:c>
      <x:c r="V13" s="43" t="n">
        <x:f>SUM('Pair Data'!$L$329:$L$367)</x:f>
        <x:v>37</x:v>
      </x:c>
      <x:c r="W13" s="43" t="n">
        <x:f>COUNTIFS('Pair Data'!$K$329:$K$367,1,'Pair Data'!$L$329:$L$367,0)</x:f>
        <x:v>1</x:v>
      </x:c>
      <x:c r="X13" s="43" t="n">
        <x:f>COUNTIFS('Pair Data'!$K$329:$K$367,0,'Pair Data'!$L$329:$L$367,1)</x:f>
        <x:v>1</x:v>
      </x:c>
      <x:c r="Y13" s="43" t="n">
        <x:f>V13-U13</x:f>
        <x:v>0</x:v>
      </x:c>
      <x:c r="Z13" s="43" t="n">
        <x:f>SUM('Pair Data'!$N$329:$N$367)+SUM('Pair Data'!$O$329:$O$367)</x:f>
        <x:v>0</x:v>
      </x:c>
      <x:c r="AA13" s="35" t="str">
        <x:v>paired</x:v>
      </x:c>
    </x:row>
    <x:row r="14" ht="24" customHeight="1">
      <x:c r="A14" s="35" t="str">
        <x:v>SCENE</x:v>
      </x:c>
      <x:c r="B14" s="35" t="str">
        <x:v>NetQAD E2E 规划模块</x:v>
      </x:c>
      <x:c r="C14" s="43" t="n">
        <x:f>ROWS('Pair Data'!$A$368:$A$468)</x:f>
        <x:v>101</x:v>
      </x:c>
      <x:c r="D14" s="47" t="n">
        <x:f>AVERAGE('Pair Data'!$C$368:$C$468)</x:f>
        <x:v>126.89732673267328</x:v>
      </x:c>
      <x:c r="E14" s="47" t="n">
        <x:f>AVERAGE('Pair Data'!$D$368:$D$468)</x:f>
        <x:v>127.7104732673267</x:v>
      </x:c>
      <x:c r="F14" s="47" t="n">
        <x:f>D14-E14</x:f>
        <x:v>-0.813146534653427</x:v>
      </x:c>
      <x:c r="G14" s="51" t="n">
        <x:f>IFERROR(F14/D14,0)</x:f>
        <x:v>-0.006407909099349527</x:v>
      </x:c>
      <x:c r="H14" s="43" t="n">
        <x:f>COUNTIF('Pair Data'!$E$368:$E$468,"&gt;0")</x:f>
        <x:v>50</x:v>
      </x:c>
      <x:c r="I14" s="51" t="n">
        <x:f>IFERROR(H14/C14,0)</x:f>
        <x:v>0.49504950495049505</x:v>
      </x:c>
      <x:c r="J14" s="47" t="n">
        <x:f>MEDIAN('Pair Data'!$C$368:$C$468)</x:f>
        <x:v>123.6578</x:v>
      </x:c>
      <x:c r="K14" s="47" t="n">
        <x:f>MEDIAN('Pair Data'!$D$368:$D$468)</x:f>
        <x:v>125.8206</x:v>
      </x:c>
      <x:c r="L14" s="47" t="n">
        <x:f>PERCENTILE.INC('Pair Data'!$C$368:$C$468,0.95)</x:f>
        <x:v>173.4216</x:v>
      </x:c>
      <x:c r="M14" s="47" t="n">
        <x:f>PERCENTILE.INC('Pair Data'!$D$368:$D$468,0.95)</x:f>
        <x:v>161.4394</x:v>
      </x:c>
      <x:c r="N14" s="55" t="n">
        <x:f>AVERAGE('Pair Data'!$G$368:$G$468)</x:f>
        <x:v>2146.930693069307</x:v>
      </x:c>
      <x:c r="O14" s="55" t="n">
        <x:f>AVERAGE('Pair Data'!$H$368:$H$468)</x:f>
        <x:v>275.0495049504951</x:v>
      </x:c>
      <x:c r="P14" s="55" t="str">
        <x:f>""</x:f>
      </x:c>
      <x:c r="Q14" s="51" t="str">
        <x:f>""</x:f>
      </x:c>
      <x:c r="R14" s="51" t="n">
        <x:f>SUM('Pair Data'!$K$368:$K$468)/C14</x:f>
        <x:v>0.9900990099009901</x:v>
      </x:c>
      <x:c r="S14" s="51" t="n">
        <x:f>SUM('Pair Data'!$L$368:$L$468)/C14</x:f>
        <x:v>0.9702970297029703</x:v>
      </x:c>
      <x:c r="T14" s="59" t="n">
        <x:f>(S14-R14)*100</x:f>
        <x:v>-1.980198019801982</x:v>
      </x:c>
      <x:c r="U14" s="43" t="n">
        <x:f>SUM('Pair Data'!$K$368:$K$468)</x:f>
        <x:v>100</x:v>
      </x:c>
      <x:c r="V14" s="43" t="n">
        <x:f>SUM('Pair Data'!$L$368:$L$468)</x:f>
        <x:v>98</x:v>
      </x:c>
      <x:c r="W14" s="43" t="n">
        <x:f>COUNTIFS('Pair Data'!$K$368:$K$468,1,'Pair Data'!$L$368:$L$468,0)</x:f>
        <x:v>2</x:v>
      </x:c>
      <x:c r="X14" s="43" t="n">
        <x:f>COUNTIFS('Pair Data'!$K$368:$K$468,0,'Pair Data'!$L$368:$L$468,1)</x:f>
        <x:v>0</x:v>
      </x:c>
      <x:c r="Y14" s="43" t="n">
        <x:f>V14-U14</x:f>
        <x:v>-2</x:v>
      </x:c>
      <x:c r="Z14" s="43" t="n">
        <x:f>SUM('Pair Data'!$N$368:$N$468)+SUM('Pair Data'!$O$368:$O$468)</x:f>
        <x:v>0</x:v>
      </x:c>
      <x:c r="AA14" s="35" t="str">
        <x:v>paired</x:v>
      </x:c>
    </x:row>
    <x:row r="15" ht="24" customHeight="1">
      <x:c r="A15" s="35" t="str">
        <x:v>SCENE</x:v>
      </x:c>
      <x:c r="B15" s="35" t="str">
        <x:v>ReAct 白盒单步规划</x:v>
      </x:c>
      <x:c r="C15" s="43" t="n">
        <x:f>ROWS('Pair Data'!$A$469:$A$547)</x:f>
        <x:v>79</x:v>
      </x:c>
      <x:c r="D15" s="47" t="n">
        <x:f>AVERAGE('Pair Data'!$C$469:$C$547)</x:f>
        <x:v>52.501554430379734</x:v>
      </x:c>
      <x:c r="E15" s="47" t="n">
        <x:f>AVERAGE('Pair Data'!$D$469:$D$547)</x:f>
        <x:v>53.53189873417725</x:v>
      </x:c>
      <x:c r="F15" s="47" t="n">
        <x:f>D15-E15</x:f>
        <x:v>-1.0303443037975129</x:v>
      </x:c>
      <x:c r="G15" s="51" t="n">
        <x:f>IFERROR(F15/D15,0)</x:f>
        <x:v>-0.019625024725007188</x:v>
      </x:c>
      <x:c r="H15" s="43" t="n">
        <x:f>COUNTIF('Pair Data'!$E$469:$E$547,"&gt;0")</x:f>
        <x:v>45</x:v>
      </x:c>
      <x:c r="I15" s="51" t="n">
        <x:f>IFERROR(H15/C15,0)</x:f>
        <x:v>0.569620253164557</x:v>
      </x:c>
      <x:c r="J15" s="47" t="n">
        <x:f>MEDIAN('Pair Data'!$C$469:$C$547)</x:f>
        <x:v>50.8186</x:v>
      </x:c>
      <x:c r="K15" s="47" t="n">
        <x:f>MEDIAN('Pair Data'!$D$469:$D$547)</x:f>
        <x:v>44.646</x:v>
      </x:c>
      <x:c r="L15" s="47" t="n">
        <x:f>PERCENTILE.INC('Pair Data'!$C$469:$C$547,0.95)</x:f>
        <x:v>79.41646999999999</x:v>
      </x:c>
      <x:c r="M15" s="47" t="n">
        <x:f>PERCENTILE.INC('Pair Data'!$D$469:$D$547,0.95)</x:f>
        <x:v>104.70750999999998</x:v>
      </x:c>
      <x:c r="N15" s="55" t="n">
        <x:f>AVERAGE('Pair Data'!$G$469:$G$547)</x:f>
        <x:v>911.5949367088608</x:v>
      </x:c>
      <x:c r="O15" s="55" t="n">
        <x:f>AVERAGE('Pair Data'!$H$469:$H$547)</x:f>
        <x:v>115.79746835443038</x:v>
      </x:c>
      <x:c r="P15" s="55" t="str">
        <x:f>""</x:f>
      </x:c>
      <x:c r="Q15" s="51" t="str">
        <x:f>""</x:f>
      </x:c>
      <x:c r="R15" s="51" t="n">
        <x:f>SUM('Pair Data'!$K$469:$K$547)/C15</x:f>
        <x:v>0.8987341772151899</x:v>
      </x:c>
      <x:c r="S15" s="51" t="n">
        <x:f>SUM('Pair Data'!$L$469:$L$547)/C15</x:f>
        <x:v>0.8734177215189873</x:v>
      </x:c>
      <x:c r="T15" s="59" t="n">
        <x:f>(S15-R15)*100</x:f>
        <x:v>-2.5316455696202556</x:v>
      </x:c>
      <x:c r="U15" s="43" t="n">
        <x:f>SUM('Pair Data'!$K$469:$K$547)</x:f>
        <x:v>71</x:v>
      </x:c>
      <x:c r="V15" s="43" t="n">
        <x:f>SUM('Pair Data'!$L$469:$L$547)</x:f>
        <x:v>69</x:v>
      </x:c>
      <x:c r="W15" s="43" t="n">
        <x:f>COUNTIFS('Pair Data'!$K$469:$K$547,1,'Pair Data'!$L$469:$L$547,0)</x:f>
        <x:v>5</x:v>
      </x:c>
      <x:c r="X15" s="43" t="n">
        <x:f>COUNTIFS('Pair Data'!$K$469:$K$547,0,'Pair Data'!$L$469:$L$547,1)</x:f>
        <x:v>3</x:v>
      </x:c>
      <x:c r="Y15" s="43" t="n">
        <x:f>V15-U15</x:f>
        <x:v>-2</x:v>
      </x:c>
      <x:c r="Z15" s="43" t="n">
        <x:f>SUM('Pair Data'!$N$469:$N$547)+SUM('Pair Data'!$O$469:$O$547)</x:f>
        <x:v>0</x:v>
      </x:c>
      <x:c r="AA15" s="35" t="str">
        <x:v>paired</x:v>
      </x:c>
    </x:row>
    <x:row r="16" ht="24" customHeight="1">
      <x:c r="A16" s="35" t="str">
        <x:v>SCENE</x:v>
      </x:c>
      <x:c r="B16" s="35" t="str">
        <x:v>长文本根因推理</x:v>
      </x:c>
      <x:c r="C16" s="43" t="n">
        <x:f>ROWS('Pair Data'!$A$548:$A$594)</x:f>
        <x:v>47</x:v>
      </x:c>
      <x:c r="D16" s="47" t="n">
        <x:f>AVERAGE('Pair Data'!$C$548:$C$594)</x:f>
        <x:v>95.54314255319149</x:v>
      </x:c>
      <x:c r="E16" s="47" t="n">
        <x:f>AVERAGE('Pair Data'!$D$548:$D$594)</x:f>
        <x:v>98.47459574468083</x:v>
      </x:c>
      <x:c r="F16" s="47" t="n">
        <x:f>D16-E16</x:f>
        <x:v>-2.9314531914893394</x:v>
      </x:c>
      <x:c r="G16" s="51" t="n">
        <x:f>IFERROR(F16/D16,0)</x:f>
        <x:v>-0.030681984213124652</x:v>
      </x:c>
      <x:c r="H16" s="43" t="n">
        <x:f>COUNTIF('Pair Data'!$E$548:$E$594,"&gt;0")</x:f>
        <x:v>17</x:v>
      </x:c>
      <x:c r="I16" s="51" t="n">
        <x:f>IFERROR(H16/C16,0)</x:f>
        <x:v>0.3617021276595745</x:v>
      </x:c>
      <x:c r="J16" s="47" t="n">
        <x:f>MEDIAN('Pair Data'!$C$548:$C$594)</x:f>
        <x:v>96.0014</x:v>
      </x:c>
      <x:c r="K16" s="47" t="n">
        <x:f>MEDIAN('Pair Data'!$D$548:$D$594)</x:f>
        <x:v>97.5995</x:v>
      </x:c>
      <x:c r="L16" s="47" t="n">
        <x:f>PERCENTILE.INC('Pair Data'!$C$548:$C$594,0.95)</x:f>
        <x:v>105.10284</x:v>
      </x:c>
      <x:c r="M16" s="47" t="n">
        <x:f>PERCENTILE.INC('Pair Data'!$D$548:$D$594,0.95)</x:f>
        <x:v>114.84294</x:v>
      </x:c>
      <x:c r="N16" s="55" t="n">
        <x:f>AVERAGE('Pair Data'!$G$548:$G$594)</x:f>
        <x:v>1501.1063829787233</x:v>
      </x:c>
      <x:c r="O16" s="55" t="n">
        <x:f>AVERAGE('Pair Data'!$H$548:$H$594)</x:f>
        <x:v>299.25531914893617</x:v>
      </x:c>
      <x:c r="P16" s="55" t="str">
        <x:f>""</x:f>
      </x:c>
      <x:c r="Q16" s="51" t="str">
        <x:f>""</x:f>
      </x:c>
      <x:c r="R16" s="51" t="n">
        <x:f>SUM('Pair Data'!$K$548:$K$594)/C16</x:f>
        <x:v>1</x:v>
      </x:c>
      <x:c r="S16" s="51" t="n">
        <x:f>SUM('Pair Data'!$L$548:$L$594)/C16</x:f>
        <x:v>0.9787234042553191</x:v>
      </x:c>
      <x:c r="T16" s="59" t="n">
        <x:f>(S16-R16)*100</x:f>
        <x:v>-2.127659574468088</x:v>
      </x:c>
      <x:c r="U16" s="43" t="n">
        <x:f>SUM('Pair Data'!$K$548:$K$594)</x:f>
        <x:v>47</x:v>
      </x:c>
      <x:c r="V16" s="43" t="n">
        <x:f>SUM('Pair Data'!$L$548:$L$594)</x:f>
        <x:v>46</x:v>
      </x:c>
      <x:c r="W16" s="43" t="n">
        <x:f>COUNTIFS('Pair Data'!$K$548:$K$594,1,'Pair Data'!$L$548:$L$594,0)</x:f>
        <x:v>1</x:v>
      </x:c>
      <x:c r="X16" s="43" t="n">
        <x:f>COUNTIFS('Pair Data'!$K$548:$K$594,0,'Pair Data'!$L$548:$L$594,1)</x:f>
        <x:v>0</x:v>
      </x:c>
      <x:c r="Y16" s="43" t="n">
        <x:f>V16-U16</x:f>
        <x:v>-1</x:v>
      </x:c>
      <x:c r="Z16" s="43" t="n">
        <x:f>SUM('Pair Data'!$N$548:$N$594)+SUM('Pair Data'!$O$548:$O$594)</x:f>
        <x:v>0</x:v>
      </x:c>
      <x:c r="AA16" s="35" t="str">
        <x:v>paired</x:v>
      </x:c>
    </x:row>
    <x:row r="17" ht="24" customHeight="1">
      <x:c r="A17" s="35" t="str">
        <x:v>SCENE</x:v>
      </x:c>
      <x:c r="B17" s="35" t="str">
        <x:v>告警诊断建议总结</x:v>
      </x:c>
      <x:c r="C17" s="43" t="n">
        <x:f>ROWS('Pair Data'!$A$595:$A$605)</x:f>
        <x:v>11</x:v>
      </x:c>
      <x:c r="D17" s="47" t="n">
        <x:f>AVERAGE('Pair Data'!$C$595:$C$605)</x:f>
        <x:v>109.30831818181815</x:v>
      </x:c>
      <x:c r="E17" s="47" t="n">
        <x:f>AVERAGE('Pair Data'!$D$595:$D$605)</x:f>
        <x:v>113.51760909090909</x:v>
      </x:c>
      <x:c r="F17" s="47" t="n">
        <x:f>D17-E17</x:f>
        <x:v>-4.209290909090939</x:v>
      </x:c>
      <x:c r="G17" s="51" t="n">
        <x:f>IFERROR(F17/D17,0)</x:f>
        <x:v>-0.038508422589481325</x:v>
      </x:c>
      <x:c r="H17" s="43" t="n">
        <x:f>COUNTIF('Pair Data'!$E$595:$E$605,"&gt;0")</x:f>
        <x:v>4</x:v>
      </x:c>
      <x:c r="I17" s="51" t="n">
        <x:f>IFERROR(H17/C17,0)</x:f>
        <x:v>0.36363636363636365</x:v>
      </x:c>
      <x:c r="J17" s="47" t="n">
        <x:f>MEDIAN('Pair Data'!$C$595:$C$605)</x:f>
        <x:v>102.7322</x:v>
      </x:c>
      <x:c r="K17" s="47" t="n">
        <x:f>MEDIAN('Pair Data'!$D$595:$D$605)</x:f>
        <x:v>115.9768</x:v>
      </x:c>
      <x:c r="L17" s="47" t="n">
        <x:f>PERCENTILE.INC('Pair Data'!$C$595:$C$605,0.95)</x:f>
        <x:v>138.7482</x:v>
      </x:c>
      <x:c r="M17" s="47" t="n">
        <x:f>PERCENTILE.INC('Pair Data'!$D$595:$D$605,0.95)</x:f>
        <x:v>129.21075000000002</x:v>
      </x:c>
      <x:c r="N17" s="55" t="n">
        <x:f>AVERAGE('Pair Data'!$G$595:$G$605)</x:f>
        <x:v>2082.7272727272725</x:v>
      </x:c>
      <x:c r="O17" s="55" t="n">
        <x:f>AVERAGE('Pair Data'!$H$595:$H$605)</x:f>
        <x:v>479.27272727272725</x:v>
      </x:c>
      <x:c r="P17" s="55" t="str">
        <x:f>""</x:f>
      </x:c>
      <x:c r="Q17" s="51" t="str">
        <x:f>""</x:f>
      </x:c>
      <x:c r="R17" s="51" t="n">
        <x:f>SUM('Pair Data'!$K$595:$K$605)/C17</x:f>
        <x:v>0.9090909090909091</x:v>
      </x:c>
      <x:c r="S17" s="51" t="n">
        <x:f>SUM('Pair Data'!$L$595:$L$605)/C17</x:f>
        <x:v>0.9090909090909091</x:v>
      </x:c>
      <x:c r="T17" s="59" t="n">
        <x:f>(S17-R17)*100</x:f>
        <x:v>0</x:v>
      </x:c>
      <x:c r="U17" s="43" t="n">
        <x:f>SUM('Pair Data'!$K$595:$K$605)</x:f>
        <x:v>10</x:v>
      </x:c>
      <x:c r="V17" s="43" t="n">
        <x:f>SUM('Pair Data'!$L$595:$L$605)</x:f>
        <x:v>10</x:v>
      </x:c>
      <x:c r="W17" s="43" t="n">
        <x:f>COUNTIFS('Pair Data'!$K$595:$K$605,1,'Pair Data'!$L$595:$L$605,0)</x:f>
        <x:v>1</x:v>
      </x:c>
      <x:c r="X17" s="43" t="n">
        <x:f>COUNTIFS('Pair Data'!$K$595:$K$605,0,'Pair Data'!$L$595:$L$605,1)</x:f>
        <x:v>1</x:v>
      </x:c>
      <x:c r="Y17" s="43" t="n">
        <x:f>V17-U17</x:f>
        <x:v>0</x:v>
      </x:c>
      <x:c r="Z17" s="43" t="n">
        <x:f>SUM('Pair Data'!$N$595:$N$605)+SUM('Pair Data'!$O$595:$O$605)</x:f>
        <x:v>0</x:v>
      </x:c>
      <x:c r="AA17" s="35" t="str">
        <x:v>paired</x:v>
      </x:c>
    </x:row>
    <x:row r="18" ht="24" customHeight="1">
      <x:c r="A18" s="35" t="str">
        <x:v>SCENE</x:v>
      </x:c>
      <x:c r="B18" s="35" t="str">
        <x:v>ReAct 白盒机器数据分析</x:v>
      </x:c>
      <x:c r="C18" s="43" t="n">
        <x:f>ROWS('Pair Data'!$A$606:$A$634)</x:f>
        <x:v>29</x:v>
      </x:c>
      <x:c r="D18" s="47" t="n">
        <x:f>AVERAGE('Pair Data'!$C$606:$C$634)</x:f>
        <x:v>66.09014137931037</x:v>
      </x:c>
      <x:c r="E18" s="47" t="n">
        <x:f>AVERAGE('Pair Data'!$D$606:$D$634)</x:f>
        <x:v>76.97136206896552</x:v>
      </x:c>
      <x:c r="F18" s="47" t="n">
        <x:f>D18-E18</x:f>
        <x:v>-10.881220689655152</x:v>
      </x:c>
      <x:c r="G18" s="51" t="n">
        <x:f>IFERROR(F18/D18,0)</x:f>
        <x:v>-0.16464211548897573</x:v>
      </x:c>
      <x:c r="H18" s="43" t="n">
        <x:f>COUNTIF('Pair Data'!$E$606:$E$634,"&gt;0")</x:f>
        <x:v>11</x:v>
      </x:c>
      <x:c r="I18" s="51" t="n">
        <x:f>IFERROR(H18/C18,0)</x:f>
        <x:v>0.3793103448275862</x:v>
      </x:c>
      <x:c r="J18" s="47" t="n">
        <x:f>MEDIAN('Pair Data'!$C$606:$C$634)</x:f>
        <x:v>64.4082</x:v>
      </x:c>
      <x:c r="K18" s="47" t="n">
        <x:f>MEDIAN('Pair Data'!$D$606:$D$634)</x:f>
        <x:v>70.7358</x:v>
      </x:c>
      <x:c r="L18" s="47" t="n">
        <x:f>PERCENTILE.INC('Pair Data'!$C$606:$C$634,0.95)</x:f>
        <x:v>86.9846</x:v>
      </x:c>
      <x:c r="M18" s="47" t="n">
        <x:f>PERCENTILE.INC('Pair Data'!$D$606:$D$634,0.95)</x:f>
        <x:v>106.82202</x:v>
      </x:c>
      <x:c r="N18" s="55" t="n">
        <x:f>AVERAGE('Pair Data'!$G$606:$G$634)</x:f>
        <x:v>1119.551724137931</x:v>
      </x:c>
      <x:c r="O18" s="55" t="n">
        <x:f>AVERAGE('Pair Data'!$H$606:$H$634)</x:f>
        <x:v>147.58620689655172</x:v>
      </x:c>
      <x:c r="P18" s="55" t="str">
        <x:f>""</x:f>
      </x:c>
      <x:c r="Q18" s="51" t="str">
        <x:f>""</x:f>
      </x:c>
      <x:c r="R18" s="51" t="n">
        <x:f>SUM('Pair Data'!$K$606:$K$634)/C18</x:f>
        <x:v>0.896551724137931</x:v>
      </x:c>
      <x:c r="S18" s="51" t="n">
        <x:f>SUM('Pair Data'!$L$606:$L$634)/C18</x:f>
        <x:v>0.9310344827586207</x:v>
      </x:c>
      <x:c r="T18" s="59" t="n">
        <x:f>(S18-R18)*100</x:f>
        <x:v>3.4482758620689613</x:v>
      </x:c>
      <x:c r="U18" s="43" t="n">
        <x:f>SUM('Pair Data'!$K$606:$K$634)</x:f>
        <x:v>26</x:v>
      </x:c>
      <x:c r="V18" s="43" t="n">
        <x:f>SUM('Pair Data'!$L$606:$L$634)</x:f>
        <x:v>27</x:v>
      </x:c>
      <x:c r="W18" s="43" t="n">
        <x:f>COUNTIFS('Pair Data'!$K$606:$K$634,1,'Pair Data'!$L$606:$L$634,0)</x:f>
        <x:v>1</x:v>
      </x:c>
      <x:c r="X18" s="43" t="n">
        <x:f>COUNTIFS('Pair Data'!$K$606:$K$634,0,'Pair Data'!$L$606:$L$634,1)</x:f>
        <x:v>2</x:v>
      </x:c>
      <x:c r="Y18" s="43" t="n">
        <x:f>V18-U18</x:f>
        <x:v>1</x:v>
      </x:c>
      <x:c r="Z18" s="43" t="n">
        <x:f>SUM('Pair Data'!$N$606:$N$634)+SUM('Pair Data'!$O$606:$O$634)</x:f>
        <x:v>0</x:v>
      </x:c>
      <x:c r="AA18" s="35" t="str">
        <x:v>paired</x:v>
      </x:c>
    </x:row>
    <x:row r="19" ht="24" customHeight="1">
      <x:c r="A19" s="41" t="str">
        <x:v>MACRO</x:v>
      </x:c>
      <x:c r="B19" s="41" t="str">
        <x:v>场景等权宏平均</x:v>
      </x:c>
      <x:c r="C19" s="44" t="n">
        <x:f>ROWS(B6:B18)</x:f>
        <x:v>13</x:v>
      </x:c>
      <x:c r="D19" s="48" t="n">
        <x:f>AVERAGE(D6:D18)</x:f>
        <x:v>83.06381247445613</x:v>
      </x:c>
      <x:c r="E19" s="48" t="n">
        <x:f>AVERAGE(E6:E18)</x:f>
        <x:v>75.77052946429447</x:v>
      </x:c>
      <x:c r="F19" s="48" t="n">
        <x:f>AVERAGE(F6:F18)</x:f>
        <x:v>7.293283010161659</x:v>
      </x:c>
      <x:c r="G19" s="52" t="n">
        <x:f>AVERAGE(G6:G18)</x:f>
        <x:v>0.09862559781671908</x:v>
      </x:c>
      <x:c r="H19" s="44" t="str">
        <x:f>""</x:f>
      </x:c>
      <x:c r="I19" s="52" t="n">
        <x:f>AVERAGE(I6:I18)</x:f>
        <x:v>0.6129383957371186</x:v>
      </x:c>
      <x:c r="J19" s="48" t="n">
        <x:f>AVERAGE(J6:J18)</x:f>
        <x:v>81.36291923076922</x:v>
      </x:c>
      <x:c r="K19" s="48" t="n">
        <x:f>AVERAGE(K6:K18)</x:f>
        <x:v>73.9785576923077</x:v>
      </x:c>
      <x:c r="L19" s="48" t="n">
        <x:f>AVERAGE(L6:L18)</x:f>
        <x:v>110.88537846153847</x:v>
      </x:c>
      <x:c r="M19" s="48" t="n">
        <x:f>AVERAGE(M6:M18)</x:f>
        <x:v>100.94823076923078</x:v>
      </x:c>
      <x:c r="N19" s="56" t="n">
        <x:f>AVERAGE(N6:N18)</x:f>
        <x:v>1469.6336302842674</x:v>
      </x:c>
      <x:c r="O19" s="56" t="n">
        <x:f>AVERAGE(O6:O18)</x:f>
        <x:v>208.84624567616308</x:v>
      </x:c>
      <x:c r="P19" s="56" t="str">
        <x:f>""</x:f>
      </x:c>
      <x:c r="Q19" s="52" t="str">
        <x:f>""</x:f>
      </x:c>
      <x:c r="R19" s="52" t="n">
        <x:f>AVERAGE(R6:R18)</x:f>
        <x:v>0.9349736295151627</x:v>
      </x:c>
      <x:c r="S19" s="52" t="n">
        <x:f>AVERAGE(S6:S18)</x:f>
        <x:v>0.9265103965062569</x:v>
      </x:c>
      <x:c r="T19" s="60" t="n">
        <x:f>(S19-R19)*100</x:f>
        <x:v>-0.8463233008905835</x:v>
      </x:c>
      <x:c r="U19" s="44" t="str">
        <x:f>""</x:f>
      </x:c>
      <x:c r="V19" s="44" t="str">
        <x:f>""</x:f>
      </x:c>
      <x:c r="W19" s="44" t="str">
        <x:f>""</x:f>
      </x:c>
      <x:c r="X19" s="44" t="str">
        <x:f>""</x:f>
      </x:c>
      <x:c r="Y19" s="44" t="str">
        <x:f>""</x:f>
      </x:c>
      <x:c r="Z19" s="44" t="n">
        <x:f>SUM(Z6:Z18)</x:f>
        <x:v>0</x:v>
      </x:c>
      <x:c r="AA19" s="41" t="str">
        <x:v>13 scenes, equal weight</x:v>
      </x:c>
    </x:row>
    <x:row r="20" ht="24" customHeight="1">
      <x:c r="A20" s="39" t="str">
        <x:v>MICRO</x:v>
      </x:c>
      <x:c r="B20" s="39" t="str">
        <x:v>请求加权微平均</x:v>
      </x:c>
      <x:c r="C20" s="45" t="n">
        <x:f>ROWS('Pair Data'!$A$2:$A$634)</x:f>
        <x:v>633</x:v>
      </x:c>
      <x:c r="D20" s="49" t="n">
        <x:f>AVERAGE('Pair Data'!$C$2:$C$634)</x:f>
        <x:v>77.19979620853084</x:v>
      </x:c>
      <x:c r="E20" s="49" t="n">
        <x:f>AVERAGE('Pair Data'!$D$2:$D$634)</x:f>
        <x:v>69.67090663507099</x:v>
      </x:c>
      <x:c r="F20" s="49" t="n">
        <x:f>D20-E20</x:f>
        <x:v>7.52888957345985</x:v>
      </x:c>
      <x:c r="G20" s="53" t="n">
        <x:f>IFERROR(F20/D20,0)</x:f>
        <x:v>0.0975247337845677</x:v>
      </x:c>
      <x:c r="H20" s="45" t="n">
        <x:f>COUNTIF('Pair Data'!$E$2:$E$634,"&gt;0")</x:f>
        <x:v>413</x:v>
      </x:c>
      <x:c r="I20" s="53" t="n">
        <x:f>H20/C20</x:f>
        <x:v>0.6524486571879937</x:v>
      </x:c>
      <x:c r="J20" s="49" t="n">
        <x:f>MEDIAN('Pair Data'!$C$2:$C$634)</x:f>
        <x:v>65.7183</x:v>
      </x:c>
      <x:c r="K20" s="49" t="n">
        <x:f>MEDIAN('Pair Data'!$D$2:$D$634)</x:f>
        <x:v>59.9581</x:v>
      </x:c>
      <x:c r="L20" s="49" t="n">
        <x:f>PERCENTILE.INC('Pair Data'!$C$2:$C$634,0.95)</x:f>
        <x:v>138.6804</x:v>
      </x:c>
      <x:c r="M20" s="49" t="n">
        <x:f>PERCENTILE.INC('Pair Data'!$D$2:$D$634,0.95)</x:f>
        <x:v>140.57407999999998</x:v>
      </x:c>
      <x:c r="N20" s="57" t="n">
        <x:f>AVERAGE('Pair Data'!$G$2:$G$634)</x:f>
        <x:v>1318.9383886255923</x:v>
      </x:c>
      <x:c r="O20" s="57" t="n">
        <x:f>AVERAGE('Pair Data'!$H$2:$H$634)</x:f>
        <x:v>154.2259083728278</x:v>
      </x:c>
      <x:c r="P20" s="57" t="str">
        <x:f>""</x:f>
      </x:c>
      <x:c r="Q20" s="53" t="str">
        <x:f>""</x:f>
      </x:c>
      <x:c r="R20" s="53" t="n">
        <x:f>SUM('Pair Data'!$K$2:$K$634)/C20</x:f>
        <x:v>0.9257503949447078</x:v>
      </x:c>
      <x:c r="S20" s="53" t="n">
        <x:f>SUM('Pair Data'!$L$2:$L$634)/C20</x:f>
        <x:v>0.9225908372827805</x:v>
      </x:c>
      <x:c r="T20" s="61" t="n">
        <x:f>(S20-R20)*100</x:f>
        <x:v>-0.3159557661927326</x:v>
      </x:c>
      <x:c r="U20" s="45" t="n">
        <x:f>SUM('Pair Data'!$K$2:$K$634)</x:f>
        <x:v>586</x:v>
      </x:c>
      <x:c r="V20" s="45" t="n">
        <x:f>SUM('Pair Data'!$L$2:$L$634)</x:f>
        <x:v>584</x:v>
      </x:c>
      <x:c r="W20" s="45" t="n">
        <x:f>COUNTIFS('Pair Data'!$K$2:$K$634,1,'Pair Data'!$L$2:$L$634,0)</x:f>
        <x:v>21</x:v>
      </x:c>
      <x:c r="X20" s="45" t="n">
        <x:f>COUNTIFS('Pair Data'!$K$2:$K$634,0,'Pair Data'!$L$2:$L$634,1)</x:f>
        <x:v>19</x:v>
      </x:c>
      <x:c r="Y20" s="45" t="n">
        <x:f>V20-U20</x:f>
        <x:v>-2</x:v>
      </x:c>
      <x:c r="Z20" s="45" t="n">
        <x:f>SUM('Pair Data'!$N$2:$N$634)+SUM('Pair Data'!$O$2:$O$634)</x:f>
        <x:v>0</x:v>
      </x:c>
      <x:c r="AA20" s="39" t="str">
        <x:v>paired</x:v>
      </x:c>
    </x:row>
  </x:sheetData>
  <x:mergeCells>
    <x:mergeCell ref="A1:AA1"/>
    <x:mergeCell ref="A2:AA2"/>
    <x:mergeCell ref="A3:AA3"/>
  </x:mergeCells>
  <x:conditionalFormatting sqref="G6:G20">
    <x:cfRule type="cellIs" dxfId="2" priority="1" operator="greaterThan">
      <x:formula>0</x:formula>
    </x:cfRule>
  </x:conditionalFormatting>
  <x:conditionalFormatting sqref="T6:T20">
    <x:cfRule type="cellIs" dxfId="3" priority="2" operator="greaterThan">
      <x:formula>0</x:formula>
    </x:cfRule>
    <x:cfRule type="cellIs" dxfId="4" priority="3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3" hidden="0" customWidth="1"/>
    <x:col min="12" max="12" width="13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21" customHeight="1">
      <x:c r="A1" s="9" t="str">
        <x:v>场景</x:v>
      </x:c>
      <x:c r="B1" s="10" t="str">
        <x:v>QA_ID</x:v>
      </x:c>
      <x:c r="C1" s="10" t="str">
        <x:v>量化增训 Vanilla E2E (s)</x:v>
      </x:c>
      <x:c r="D1" s="10" t="str">
        <x:v>run_12 DTB E2E (s)</x:v>
      </x:c>
      <x:c r="E1" s="10" t="str">
        <x:v>E2E gain (s)</x:v>
      </x:c>
      <x:c r="F1" s="10" t="str">
        <x:v>E2E gain (%)</x:v>
      </x:c>
      <x:c r="G1" s="10" t="str">
        <x:v>量化增训 Vanilla Token（原始字段）</x:v>
      </x:c>
      <x:c r="H1" s="10" t="str">
        <x:v>run_12 DTB Token（原始字段）</x:v>
      </x:c>
      <x:c r="I1" s="10" t="str">
        <x:v>Token comparison (N/A)</x:v>
      </x:c>
      <x:c r="J1" s="10" t="str">
        <x:v>Token comparison (%) (N/A)</x:v>
      </x:c>
      <x:c r="K1" s="10" t="str">
        <x:v>量化增训 Vanilla Judge 正确 (1/0)</x:v>
      </x:c>
      <x:c r="L1" s="10" t="str">
        <x:v>run_12 DTB Judge 正确 (1/0)</x:v>
      </x:c>
      <x:c r="M1" s="10" t="str">
        <x:v>Judge transition</x:v>
      </x:c>
      <x:c r="N1" s="10" t="str">
        <x:v>量化增训 Vanilla 错误 (1/0)</x:v>
      </x:c>
      <x:c r="O1" s="11" t="str">
        <x:v>run_12 DTB 错误 (1/0)</x:v>
      </x:c>
    </x:row>
    <x:row r="2" ht="21" customHeight="1">
      <x:c r="A2" s="13" t="str">
        <x:v>KPI 配置保障</x:v>
      </x:c>
      <x:c r="B2" s="13" t="str">
        <x:v>KPI_0000001</x:v>
      </x:c>
      <x:c r="C2" s="16" t="n">
        <x:v>98.6049</x:v>
      </x:c>
      <x:c r="D2" s="16" t="n">
        <x:v>54.3831</x:v>
      </x:c>
      <x:c r="E2" s="16" t="n">
        <x:f>C2-D2</x:f>
        <x:v>44.2218</x:v>
      </x:c>
      <x:c r="F2" s="19" t="n">
        <x:f>IFERROR(E2/C2,0)</x:f>
        <x:v>0.4484746701228844</x:v>
      </x:c>
      <x:c r="G2" s="22" t="n">
        <x:v>1721</x:v>
      </x:c>
      <x:c r="H2" s="22" t="n">
        <x:v>210</x:v>
      </x:c>
      <x:c r="I2" s="22"/>
      <x:c r="J2" s="19"/>
      <x:c r="K2" s="25" t="n">
        <x:v>1</x:v>
      </x:c>
      <x:c r="L2" s="25" t="n">
        <x:v>1</x:v>
      </x:c>
      <x:c r="M2" s="13" t="str">
        <x:f>IF(AND(K2=1,L2=1),"both_correct",IF(K2=1,"vanilla_only",IF(L2=1,"candidate_only","both_wrong")))</x:f>
        <x:v>both_correct</x:v>
      </x:c>
      <x:c r="N2" s="25" t="n">
        <x:v>0</x:v>
      </x:c>
      <x:c r="O2" s="25" t="n">
        <x:v>0</x:v>
      </x:c>
    </x:row>
    <x:row r="3" ht="21" customHeight="1">
      <x:c r="A3" s="14" t="str">
        <x:v>KPI 配置保障</x:v>
      </x:c>
      <x:c r="B3" s="14" t="str">
        <x:v>KPI_0000002</x:v>
      </x:c>
      <x:c r="C3" s="17" t="n">
        <x:v>95.8673</x:v>
      </x:c>
      <x:c r="D3" s="17" t="n">
        <x:v>53.9348</x:v>
      </x:c>
      <x:c r="E3" s="17" t="n">
        <x:f>C3-D3</x:f>
        <x:v>41.9325</x:v>
      </x:c>
      <x:c r="F3" s="20" t="n">
        <x:f>IFERROR(E3/C3,0)</x:f>
        <x:v>0.43740149143660034</x:v>
      </x:c>
      <x:c r="G3" s="23" t="n">
        <x:v>1640</x:v>
      </x:c>
      <x:c r="H3" s="23" t="n">
        <x:v>219</x:v>
      </x:c>
      <x:c r="I3" s="23"/>
      <x:c r="J3" s="20"/>
      <x:c r="K3" s="26" t="n">
        <x:v>1</x:v>
      </x:c>
      <x:c r="L3" s="26" t="n">
        <x:v>1</x:v>
      </x:c>
      <x:c r="M3" s="14" t="str">
        <x:f>IF(AND(K3=1,L3=1),"both_correct",IF(K3=1,"vanilla_only",IF(L3=1,"candidate_only","both_wrong")))</x:f>
        <x:v>both_correct</x:v>
      </x:c>
      <x:c r="N3" s="26" t="n">
        <x:v>0</x:v>
      </x:c>
      <x:c r="O3" s="26" t="n">
        <x:v>0</x:v>
      </x:c>
    </x:row>
    <x:row r="4" ht="21" customHeight="1">
      <x:c r="A4" s="14" t="str">
        <x:v>KPI 配置保障</x:v>
      </x:c>
      <x:c r="B4" s="14" t="str">
        <x:v>KPI_0000003</x:v>
      </x:c>
      <x:c r="C4" s="17" t="n">
        <x:v>98.1676</x:v>
      </x:c>
      <x:c r="D4" s="17" t="n">
        <x:v>58.8544</x:v>
      </x:c>
      <x:c r="E4" s="17" t="n">
        <x:f>C4-D4</x:f>
        <x:v>39.313199999999995</x:v>
      </x:c>
      <x:c r="F4" s="20" t="n">
        <x:f>IFERROR(E4/C4,0)</x:f>
        <x:v>0.4004702162424262</x:v>
      </x:c>
      <x:c r="G4" s="23" t="n">
        <x:v>1629</x:v>
      </x:c>
      <x:c r="H4" s="23" t="n">
        <x:v>279</x:v>
      </x:c>
      <x:c r="I4" s="23"/>
      <x:c r="J4" s="20"/>
      <x:c r="K4" s="26" t="n">
        <x:v>1</x:v>
      </x:c>
      <x:c r="L4" s="26" t="n">
        <x:v>1</x:v>
      </x:c>
      <x:c r="M4" s="14" t="str">
        <x:f>IF(AND(K4=1,L4=1),"both_correct",IF(K4=1,"vanilla_only",IF(L4=1,"candidate_only","both_wrong")))</x:f>
        <x:v>both_correct</x:v>
      </x:c>
      <x:c r="N4" s="26" t="n">
        <x:v>0</x:v>
      </x:c>
      <x:c r="O4" s="26" t="n">
        <x:v>0</x:v>
      </x:c>
    </x:row>
    <x:row r="5" ht="21" customHeight="1">
      <x:c r="A5" s="14" t="str">
        <x:v>KPI 配置保障</x:v>
      </x:c>
      <x:c r="B5" s="14" t="str">
        <x:v>KPI_0000004</x:v>
      </x:c>
      <x:c r="C5" s="17" t="n">
        <x:v>79.0943</x:v>
      </x:c>
      <x:c r="D5" s="17" t="n">
        <x:v>48.2454</x:v>
      </x:c>
      <x:c r="E5" s="17" t="n">
        <x:f>C5-D5</x:f>
        <x:v>30.848900000000008</x:v>
      </x:c>
      <x:c r="F5" s="20" t="n">
        <x:f>IFERROR(E5/C5,0)</x:f>
        <x:v>0.3900268413779502</x:v>
      </x:c>
      <x:c r="G5" s="23" t="n">
        <x:v>1393</x:v>
      </x:c>
      <x:c r="H5" s="23" t="n">
        <x:v>195</x:v>
      </x:c>
      <x:c r="I5" s="23"/>
      <x:c r="J5" s="20"/>
      <x:c r="K5" s="26" t="n">
        <x:v>1</x:v>
      </x:c>
      <x:c r="L5" s="26" t="n">
        <x:v>1</x:v>
      </x:c>
      <x:c r="M5" s="14" t="str">
        <x:f>IF(AND(K5=1,L5=1),"both_correct",IF(K5=1,"vanilla_only",IF(L5=1,"candidate_only","both_wrong")))</x:f>
        <x:v>both_correct</x:v>
      </x:c>
      <x:c r="N5" s="26" t="n">
        <x:v>0</x:v>
      </x:c>
      <x:c r="O5" s="26" t="n">
        <x:v>0</x:v>
      </x:c>
    </x:row>
    <x:row r="6" ht="21" customHeight="1">
      <x:c r="A6" s="14" t="str">
        <x:v>KPI 配置保障</x:v>
      </x:c>
      <x:c r="B6" s="14" t="str">
        <x:v>KPI_0000005</x:v>
      </x:c>
      <x:c r="C6" s="17" t="n">
        <x:v>92.0763</x:v>
      </x:c>
      <x:c r="D6" s="17" t="n">
        <x:v>50.1046</x:v>
      </x:c>
      <x:c r="E6" s="17" t="n">
        <x:f>C6-D6</x:f>
        <x:v>41.971700000000006</x:v>
      </x:c>
      <x:c r="F6" s="20" t="n">
        <x:f>IFERROR(E6/C6,0)</x:f>
        <x:v>0.4558360837696563</x:v>
      </x:c>
      <x:c r="G6" s="23" t="n">
        <x:v>1622</x:v>
      </x:c>
      <x:c r="H6" s="23" t="n">
        <x:v>183</x:v>
      </x:c>
      <x:c r="I6" s="23"/>
      <x:c r="J6" s="20"/>
      <x:c r="K6" s="26" t="n">
        <x:v>1</x:v>
      </x:c>
      <x:c r="L6" s="26" t="n">
        <x:v>1</x:v>
      </x:c>
      <x:c r="M6" s="14" t="str">
        <x:f>IF(AND(K6=1,L6=1),"both_correct",IF(K6=1,"vanilla_only",IF(L6=1,"candidate_only","both_wrong")))</x:f>
        <x:v>both_correct</x:v>
      </x:c>
      <x:c r="N6" s="26" t="n">
        <x:v>0</x:v>
      </x:c>
      <x:c r="O6" s="26" t="n">
        <x:v>0</x:v>
      </x:c>
    </x:row>
    <x:row r="7" ht="21" customHeight="1">
      <x:c r="A7" s="14" t="str">
        <x:v>KPI 配置保障</x:v>
      </x:c>
      <x:c r="B7" s="14" t="str">
        <x:v>KPI_en_0000001</x:v>
      </x:c>
      <x:c r="C7" s="17" t="n">
        <x:v>71.1665</x:v>
      </x:c>
      <x:c r="D7" s="17" t="n">
        <x:v>39.4567</x:v>
      </x:c>
      <x:c r="E7" s="17" t="n">
        <x:f>C7-D7</x:f>
        <x:v>31.7098</x:v>
      </x:c>
      <x:c r="F7" s="20" t="n">
        <x:f>IFERROR(E7/C7,0)</x:f>
        <x:v>0.44557200368150746</x:v>
      </x:c>
      <x:c r="G7" s="23" t="n">
        <x:v>1330</x:v>
      </x:c>
      <x:c r="H7" s="23" t="n">
        <x:v>117</x:v>
      </x:c>
      <x:c r="I7" s="23"/>
      <x:c r="J7" s="20"/>
      <x:c r="K7" s="26" t="n">
        <x:v>1</x:v>
      </x:c>
      <x:c r="L7" s="26" t="n">
        <x:v>1</x:v>
      </x:c>
      <x:c r="M7" s="14" t="str">
        <x:f>IF(AND(K7=1,L7=1),"both_correct",IF(K7=1,"vanilla_only",IF(L7=1,"candidate_only","both_wrong")))</x:f>
        <x:v>both_correct</x:v>
      </x:c>
      <x:c r="N7" s="26" t="n">
        <x:v>0</x:v>
      </x:c>
      <x:c r="O7" s="26" t="n">
        <x:v>0</x:v>
      </x:c>
    </x:row>
    <x:row r="8" ht="21" customHeight="1">
      <x:c r="A8" s="14" t="str">
        <x:v>KPI 配置保障</x:v>
      </x:c>
      <x:c r="B8" s="14" t="str">
        <x:v>KPI_en_0000002</x:v>
      </x:c>
      <x:c r="C8" s="17" t="n">
        <x:v>67.8903</x:v>
      </x:c>
      <x:c r="D8" s="17" t="n">
        <x:v>43.0681</x:v>
      </x:c>
      <x:c r="E8" s="17" t="n">
        <x:f>C8-D8</x:f>
        <x:v>24.822199999999995</x:v>
      </x:c>
      <x:c r="F8" s="20" t="n">
        <x:f>IFERROR(E8/C8,0)</x:f>
        <x:v>0.3656221875584582</x:v>
      </x:c>
      <x:c r="G8" s="23" t="n">
        <x:v>1185</x:v>
      </x:c>
      <x:c r="H8" s="23" t="n">
        <x:v>127</x:v>
      </x:c>
      <x:c r="I8" s="23"/>
      <x:c r="J8" s="20"/>
      <x:c r="K8" s="26" t="n">
        <x:v>1</x:v>
      </x:c>
      <x:c r="L8" s="26" t="n">
        <x:v>1</x:v>
      </x:c>
      <x:c r="M8" s="14" t="str">
        <x:f>IF(AND(K8=1,L8=1),"both_correct",IF(K8=1,"vanilla_only",IF(L8=1,"candidate_only","both_wrong")))</x:f>
        <x:v>both_correct</x:v>
      </x:c>
      <x:c r="N8" s="26" t="n">
        <x:v>0</x:v>
      </x:c>
      <x:c r="O8" s="26" t="n">
        <x:v>0</x:v>
      </x:c>
    </x:row>
    <x:row r="9" ht="21" customHeight="1">
      <x:c r="A9" s="14" t="str">
        <x:v>KPI 配置保障</x:v>
      </x:c>
      <x:c r="B9" s="14" t="str">
        <x:v>KPI_en_0000003</x:v>
      </x:c>
      <x:c r="C9" s="17" t="n">
        <x:v>73.5531</x:v>
      </x:c>
      <x:c r="D9" s="17" t="n">
        <x:v>40.2536</x:v>
      </x:c>
      <x:c r="E9" s="17" t="n">
        <x:f>C9-D9</x:f>
        <x:v>33.2995</x:v>
      </x:c>
      <x:c r="F9" s="20" t="n">
        <x:f>IFERROR(E9/C9,0)</x:f>
        <x:v>0.4527273493571311</x:v>
      </x:c>
      <x:c r="G9" s="23" t="n">
        <x:v>1384</x:v>
      </x:c>
      <x:c r="H9" s="23" t="n">
        <x:v>134</x:v>
      </x:c>
      <x:c r="I9" s="23"/>
      <x:c r="J9" s="20"/>
      <x:c r="K9" s="26" t="n">
        <x:v>1</x:v>
      </x:c>
      <x:c r="L9" s="26" t="n">
        <x:v>1</x:v>
      </x:c>
      <x:c r="M9" s="14" t="str">
        <x:f>IF(AND(K9=1,L9=1),"both_correct",IF(K9=1,"vanilla_only",IF(L9=1,"candidate_only","both_wrong")))</x:f>
        <x:v>both_correct</x:v>
      </x:c>
      <x:c r="N9" s="26" t="n">
        <x:v>0</x:v>
      </x:c>
      <x:c r="O9" s="26" t="n">
        <x:v>0</x:v>
      </x:c>
    </x:row>
    <x:row r="10" ht="21" customHeight="1">
      <x:c r="A10" s="14" t="str">
        <x:v>KPI 配置保障</x:v>
      </x:c>
      <x:c r="B10" s="14" t="str">
        <x:v>KPI_en_0000004</x:v>
      </x:c>
      <x:c r="C10" s="17" t="n">
        <x:v>19.9979</x:v>
      </x:c>
      <x:c r="D10" s="17" t="n">
        <x:v>12.1927</x:v>
      </x:c>
      <x:c r="E10" s="17" t="n">
        <x:f>C10-D10</x:f>
        <x:v>7.805200000000001</x:v>
      </x:c>
      <x:c r="F10" s="20" t="n">
        <x:f>IFERROR(E10/C10,0)</x:f>
        <x:v>0.39030098160306836</x:v>
      </x:c>
      <x:c r="G10" s="23" t="n">
        <x:v>1529</x:v>
      </x:c>
      <x:c r="H10" s="23" t="n">
        <x:v>216</x:v>
      </x:c>
      <x:c r="I10" s="23"/>
      <x:c r="J10" s="20"/>
      <x:c r="K10" s="26" t="n">
        <x:v>1</x:v>
      </x:c>
      <x:c r="L10" s="26" t="n">
        <x:v>1</x:v>
      </x:c>
      <x:c r="M10" s="14" t="str">
        <x:f>IF(AND(K10=1,L10=1),"both_correct",IF(K10=1,"vanilla_only",IF(L10=1,"candidate_only","both_wrong")))</x:f>
        <x:v>both_correct</x:v>
      </x:c>
      <x:c r="N10" s="26" t="n">
        <x:v>0</x:v>
      </x:c>
      <x:c r="O10" s="26" t="n">
        <x:v>0</x:v>
      </x:c>
    </x:row>
    <x:row r="11" ht="21" customHeight="1">
      <x:c r="A11" s="14" t="str">
        <x:v>投诉分类中文</x:v>
      </x:c>
      <x:c r="B11" s="14" t="str">
        <x:v>MAECOM00001</x:v>
      </x:c>
      <x:c r="C11" s="17" t="n">
        <x:v>46.6116</x:v>
      </x:c>
      <x:c r="D11" s="17" t="n">
        <x:v>29.9524</x:v>
      </x:c>
      <x:c r="E11" s="17" t="n">
        <x:f>C11-D11</x:f>
        <x:v>16.659200000000002</x:v>
      </x:c>
      <x:c r="F11" s="20" t="n">
        <x:f>IFERROR(E11/C11,0)</x:f>
        <x:v>0.35740459456444323</x:v>
      </x:c>
      <x:c r="G11" s="23" t="n">
        <x:v>797</x:v>
      </x:c>
      <x:c r="H11" s="23" t="n">
        <x:v>12</x:v>
      </x:c>
      <x:c r="I11" s="23"/>
      <x:c r="J11" s="20"/>
      <x:c r="K11" s="26" t="n">
        <x:v>1</x:v>
      </x:c>
      <x:c r="L11" s="26" t="n">
        <x:v>1</x:v>
      </x:c>
      <x:c r="M11" s="14" t="str">
        <x:f>IF(AND(K11=1,L11=1),"both_correct",IF(K11=1,"vanilla_only",IF(L11=1,"candidate_only","both_wrong")))</x:f>
        <x:v>both_correct</x:v>
      </x:c>
      <x:c r="N11" s="26" t="n">
        <x:v>0</x:v>
      </x:c>
      <x:c r="O11" s="26" t="n">
        <x:v>0</x:v>
      </x:c>
    </x:row>
    <x:row r="12" ht="21" customHeight="1">
      <x:c r="A12" s="14" t="str">
        <x:v>投诉分类中文</x:v>
      </x:c>
      <x:c r="B12" s="14" t="str">
        <x:v>MAECOM00002</x:v>
      </x:c>
      <x:c r="C12" s="17" t="n">
        <x:v>62.4526</x:v>
      </x:c>
      <x:c r="D12" s="17" t="n">
        <x:v>65.761</x:v>
      </x:c>
      <x:c r="E12" s="17" t="n">
        <x:f>C12-D12</x:f>
        <x:v>-3.308399999999999</x:v>
      </x:c>
      <x:c r="F12" s="20" t="n">
        <x:f>IFERROR(E12/C12,0)</x:f>
        <x:v>-0.05297457591837648</x:v>
      </x:c>
      <x:c r="G12" s="23" t="n">
        <x:v>982</x:v>
      </x:c>
      <x:c r="H12" s="23" t="n">
        <x:v>13</x:v>
      </x:c>
      <x:c r="I12" s="23"/>
      <x:c r="J12" s="20"/>
      <x:c r="K12" s="26" t="n">
        <x:v>0</x:v>
      </x:c>
      <x:c r="L12" s="26" t="n">
        <x:v>0</x:v>
      </x:c>
      <x:c r="M12" s="14" t="str">
        <x:f>IF(AND(K12=1,L12=1),"both_correct",IF(K12=1,"vanilla_only",IF(L12=1,"candidate_only","both_wrong")))</x:f>
        <x:v>both_wrong</x:v>
      </x:c>
      <x:c r="N12" s="26" t="n">
        <x:v>0</x:v>
      </x:c>
      <x:c r="O12" s="26" t="n">
        <x:v>0</x:v>
      </x:c>
    </x:row>
    <x:row r="13" ht="21" customHeight="1">
      <x:c r="A13" s="14" t="str">
        <x:v>投诉分类中文</x:v>
      </x:c>
      <x:c r="B13" s="14" t="str">
        <x:v>MAECOM00003</x:v>
      </x:c>
      <x:c r="C13" s="17" t="n">
        <x:v>48.923</x:v>
      </x:c>
      <x:c r="D13" s="17" t="n">
        <x:v>29.7296</x:v>
      </x:c>
      <x:c r="E13" s="17" t="n">
        <x:f>C13-D13</x:f>
        <x:v>19.1934</x:v>
      </x:c>
      <x:c r="F13" s="20" t="n">
        <x:f>IFERROR(E13/C13,0)</x:f>
        <x:v>0.39231854138135436</x:v>
      </x:c>
      <x:c r="G13" s="23" t="n">
        <x:v>846</x:v>
      </x:c>
      <x:c r="H13" s="23" t="n">
        <x:v>12</x:v>
      </x:c>
      <x:c r="I13" s="23"/>
      <x:c r="J13" s="20"/>
      <x:c r="K13" s="26" t="n">
        <x:v>1</x:v>
      </x:c>
      <x:c r="L13" s="26" t="n">
        <x:v>1</x:v>
      </x:c>
      <x:c r="M13" s="14" t="str">
        <x:f>IF(AND(K13=1,L13=1),"both_correct",IF(K13=1,"vanilla_only",IF(L13=1,"candidate_only","both_wrong")))</x:f>
        <x:v>both_correct</x:v>
      </x:c>
      <x:c r="N13" s="26" t="n">
        <x:v>0</x:v>
      </x:c>
      <x:c r="O13" s="26" t="n">
        <x:v>0</x:v>
      </x:c>
    </x:row>
    <x:row r="14" ht="21" customHeight="1">
      <x:c r="A14" s="14" t="str">
        <x:v>投诉分类中文</x:v>
      </x:c>
      <x:c r="B14" s="14" t="str">
        <x:v>MAECOM00004</x:v>
      </x:c>
      <x:c r="C14" s="17" t="n">
        <x:v>53.0267</x:v>
      </x:c>
      <x:c r="D14" s="17" t="n">
        <x:v>29.7261</x:v>
      </x:c>
      <x:c r="E14" s="17" t="n">
        <x:f>C14-D14</x:f>
        <x:v>23.3006</x:v>
      </x:c>
      <x:c r="F14" s="20" t="n">
        <x:f>IFERROR(E14/C14,0)</x:f>
        <x:v>0.43941259780450226</x:v>
      </x:c>
      <x:c r="G14" s="23" t="n">
        <x:v>894</x:v>
      </x:c>
      <x:c r="H14" s="23" t="n">
        <x:v>12</x:v>
      </x:c>
      <x:c r="I14" s="23"/>
      <x:c r="J14" s="20"/>
      <x:c r="K14" s="26" t="n">
        <x:v>1</x:v>
      </x:c>
      <x:c r="L14" s="26" t="n">
        <x:v>1</x:v>
      </x:c>
      <x:c r="M14" s="14" t="str">
        <x:f>IF(AND(K14=1,L14=1),"both_correct",IF(K14=1,"vanilla_only",IF(L14=1,"candidate_only","both_wrong")))</x:f>
        <x:v>both_correct</x:v>
      </x:c>
      <x:c r="N14" s="26" t="n">
        <x:v>0</x:v>
      </x:c>
      <x:c r="O14" s="26" t="n">
        <x:v>0</x:v>
      </x:c>
    </x:row>
    <x:row r="15" ht="21" customHeight="1">
      <x:c r="A15" s="14" t="str">
        <x:v>投诉分类中文</x:v>
      </x:c>
      <x:c r="B15" s="14" t="str">
        <x:v>MAECOM00005</x:v>
      </x:c>
      <x:c r="C15" s="17" t="n">
        <x:v>46.2563</x:v>
      </x:c>
      <x:c r="D15" s="17" t="n">
        <x:v>29.0112</x:v>
      </x:c>
      <x:c r="E15" s="17" t="n">
        <x:f>C15-D15</x:f>
        <x:v>17.245100000000004</x:v>
      </x:c>
      <x:c r="F15" s="20" t="n">
        <x:f>IFERROR(E15/C15,0)</x:f>
        <x:v>0.372816243409006</x:v>
      </x:c>
      <x:c r="G15" s="23" t="n">
        <x:v>799</x:v>
      </x:c>
      <x:c r="H15" s="23" t="n">
        <x:v>12</x:v>
      </x:c>
      <x:c r="I15" s="23"/>
      <x:c r="J15" s="20"/>
      <x:c r="K15" s="26" t="n">
        <x:v>1</x:v>
      </x:c>
      <x:c r="L15" s="26" t="n">
        <x:v>1</x:v>
      </x:c>
      <x:c r="M15" s="14" t="str">
        <x:f>IF(AND(K15=1,L15=1),"both_correct",IF(K15=1,"vanilla_only",IF(L15=1,"candidate_only","both_wrong")))</x:f>
        <x:v>both_correct</x:v>
      </x:c>
      <x:c r="N15" s="26" t="n">
        <x:v>0</x:v>
      </x:c>
      <x:c r="O15" s="26" t="n">
        <x:v>0</x:v>
      </x:c>
    </x:row>
    <x:row r="16" ht="21" customHeight="1">
      <x:c r="A16" s="14" t="str">
        <x:v>投诉分类中文</x:v>
      </x:c>
      <x:c r="B16" s="14" t="str">
        <x:v>MAECOM00006</x:v>
      </x:c>
      <x:c r="C16" s="17" t="n">
        <x:v>72.4174</x:v>
      </x:c>
      <x:c r="D16" s="17" t="n">
        <x:v>29.4524</x:v>
      </x:c>
      <x:c r="E16" s="17" t="n">
        <x:f>C16-D16</x:f>
        <x:v>42.965</x:v>
      </x:c>
      <x:c r="F16" s="20" t="n">
        <x:f>IFERROR(E16/C16,0)</x:f>
        <x:v>0.5932966386531414</x:v>
      </x:c>
      <x:c r="G16" s="23" t="n">
        <x:v>1207</x:v>
      </x:c>
      <x:c r="H16" s="23" t="n">
        <x:v>12</x:v>
      </x:c>
      <x:c r="I16" s="23"/>
      <x:c r="J16" s="20"/>
      <x:c r="K16" s="26" t="n">
        <x:v>1</x:v>
      </x:c>
      <x:c r="L16" s="26" t="n">
        <x:v>1</x:v>
      </x:c>
      <x:c r="M16" s="14" t="str">
        <x:f>IF(AND(K16=1,L16=1),"both_correct",IF(K16=1,"vanilla_only",IF(L16=1,"candidate_only","both_wrong")))</x:f>
        <x:v>both_correct</x:v>
      </x:c>
      <x:c r="N16" s="26" t="n">
        <x:v>0</x:v>
      </x:c>
      <x:c r="O16" s="26" t="n">
        <x:v>0</x:v>
      </x:c>
    </x:row>
    <x:row r="17" ht="21" customHeight="1">
      <x:c r="A17" s="14" t="str">
        <x:v>投诉分类中文</x:v>
      </x:c>
      <x:c r="B17" s="14" t="str">
        <x:v>MAECOM00007</x:v>
      </x:c>
      <x:c r="C17" s="17" t="n">
        <x:v>74.8268</x:v>
      </x:c>
      <x:c r="D17" s="17" t="n">
        <x:v>29.2319</x:v>
      </x:c>
      <x:c r="E17" s="17" t="n">
        <x:f>C17-D17</x:f>
        <x:v>45.59490000000001</x:v>
      </x:c>
      <x:c r="F17" s="20" t="n">
        <x:f>IFERROR(E17/C17,0)</x:f>
        <x:v>0.6093391672502366</x:v>
      </x:c>
      <x:c r="G17" s="23" t="n">
        <x:v>1238</x:v>
      </x:c>
      <x:c r="H17" s="23" t="n">
        <x:v>12</x:v>
      </x:c>
      <x:c r="I17" s="23"/>
      <x:c r="J17" s="20"/>
      <x:c r="K17" s="26" t="n">
        <x:v>1</x:v>
      </x:c>
      <x:c r="L17" s="26" t="n">
        <x:v>1</x:v>
      </x:c>
      <x:c r="M17" s="14" t="str">
        <x:f>IF(AND(K17=1,L17=1),"both_correct",IF(K17=1,"vanilla_only",IF(L17=1,"candidate_only","both_wrong")))</x:f>
        <x:v>both_correct</x:v>
      </x:c>
      <x:c r="N17" s="26" t="n">
        <x:v>0</x:v>
      </x:c>
      <x:c r="O17" s="26" t="n">
        <x:v>0</x:v>
      </x:c>
    </x:row>
    <x:row r="18" ht="21" customHeight="1">
      <x:c r="A18" s="14" t="str">
        <x:v>投诉分类中文</x:v>
      </x:c>
      <x:c r="B18" s="14" t="str">
        <x:v>MAECOM00008</x:v>
      </x:c>
      <x:c r="C18" s="17" t="n">
        <x:v>41.1155</x:v>
      </x:c>
      <x:c r="D18" s="17" t="n">
        <x:v>27.2797</x:v>
      </x:c>
      <x:c r="E18" s="17" t="n">
        <x:f>C18-D18</x:f>
        <x:v>13.835799999999999</x:v>
      </x:c>
      <x:c r="F18" s="20" t="n">
        <x:f>IFERROR(E18/C18,0)</x:f>
        <x:v>0.3365105617103039</x:v>
      </x:c>
      <x:c r="G18" s="23" t="n">
        <x:v>741</x:v>
      </x:c>
      <x:c r="H18" s="23" t="n">
        <x:v>13</x:v>
      </x:c>
      <x:c r="I18" s="23"/>
      <x:c r="J18" s="20"/>
      <x:c r="K18" s="26" t="n">
        <x:v>1</x:v>
      </x:c>
      <x:c r="L18" s="26" t="n">
        <x:v>1</x:v>
      </x:c>
      <x:c r="M18" s="14" t="str">
        <x:f>IF(AND(K18=1,L18=1),"both_correct",IF(K18=1,"vanilla_only",IF(L18=1,"candidate_only","both_wrong")))</x:f>
        <x:v>both_correct</x:v>
      </x:c>
      <x:c r="N18" s="26" t="n">
        <x:v>0</x:v>
      </x:c>
      <x:c r="O18" s="26" t="n">
        <x:v>0</x:v>
      </x:c>
    </x:row>
    <x:row r="19" ht="21" customHeight="1">
      <x:c r="A19" s="14" t="str">
        <x:v>投诉分类中文</x:v>
      </x:c>
      <x:c r="B19" s="14" t="str">
        <x:v>MAECOM00009</x:v>
      </x:c>
      <x:c r="C19" s="17" t="n">
        <x:v>50.6975</x:v>
      </x:c>
      <x:c r="D19" s="17" t="n">
        <x:v>34.8661</x:v>
      </x:c>
      <x:c r="E19" s="17" t="n">
        <x:f>C19-D19</x:f>
        <x:v>15.831399999999995</x:v>
      </x:c>
      <x:c r="F19" s="20" t="n">
        <x:f>IFERROR(E19/C19,0)</x:f>
        <x:v>0.3122718082745697</x:v>
      </x:c>
      <x:c r="G19" s="23" t="n">
        <x:v>823</x:v>
      </x:c>
      <x:c r="H19" s="23" t="n">
        <x:v>13</x:v>
      </x:c>
      <x:c r="I19" s="23"/>
      <x:c r="J19" s="20"/>
      <x:c r="K19" s="26" t="n">
        <x:v>1</x:v>
      </x:c>
      <x:c r="L19" s="26" t="n">
        <x:v>1</x:v>
      </x:c>
      <x:c r="M19" s="14" t="str">
        <x:f>IF(AND(K19=1,L19=1),"both_correct",IF(K19=1,"vanilla_only",IF(L19=1,"candidate_only","both_wrong")))</x:f>
        <x:v>both_correct</x:v>
      </x:c>
      <x:c r="N19" s="26" t="n">
        <x:v>0</x:v>
      </x:c>
      <x:c r="O19" s="26" t="n">
        <x:v>0</x:v>
      </x:c>
    </x:row>
    <x:row r="20" ht="21" customHeight="1">
      <x:c r="A20" s="14" t="str">
        <x:v>投诉分类中文</x:v>
      </x:c>
      <x:c r="B20" s="14" t="str">
        <x:v>MAECOM00010</x:v>
      </x:c>
      <x:c r="C20" s="17" t="n">
        <x:v>58.1125</x:v>
      </x:c>
      <x:c r="D20" s="17" t="n">
        <x:v>30.7966</x:v>
      </x:c>
      <x:c r="E20" s="17" t="n">
        <x:f>C20-D20</x:f>
        <x:v>27.315899999999996</x:v>
      </x:c>
      <x:c r="F20" s="20" t="n">
        <x:f>IFERROR(E20/C20,0)</x:f>
        <x:v>0.47005205420520535</x:v>
      </x:c>
      <x:c r="G20" s="23" t="n">
        <x:v>970</x:v>
      </x:c>
      <x:c r="H20" s="23" t="n">
        <x:v>13</x:v>
      </x:c>
      <x:c r="I20" s="23"/>
      <x:c r="J20" s="20"/>
      <x:c r="K20" s="26" t="n">
        <x:v>1</x:v>
      </x:c>
      <x:c r="L20" s="26" t="n">
        <x:v>1</x:v>
      </x:c>
      <x:c r="M20" s="14" t="str">
        <x:f>IF(AND(K20=1,L20=1),"both_correct",IF(K20=1,"vanilla_only",IF(L20=1,"candidate_only","both_wrong")))</x:f>
        <x:v>both_correct</x:v>
      </x:c>
      <x:c r="N20" s="26" t="n">
        <x:v>0</x:v>
      </x:c>
      <x:c r="O20" s="26" t="n">
        <x:v>0</x:v>
      </x:c>
    </x:row>
    <x:row r="21" ht="21" customHeight="1">
      <x:c r="A21" s="14" t="str">
        <x:v>投诉分类中文</x:v>
      </x:c>
      <x:c r="B21" s="14" t="str">
        <x:v>MAECOM00011</x:v>
      </x:c>
      <x:c r="C21" s="17" t="n">
        <x:v>51.1223</x:v>
      </x:c>
      <x:c r="D21" s="17" t="n">
        <x:v>27.8374</x:v>
      </x:c>
      <x:c r="E21" s="17" t="n">
        <x:f>C21-D21</x:f>
        <x:v>23.284900000000004</x:v>
      </x:c>
      <x:c r="F21" s="20" t="n">
        <x:f>IFERROR(E21/C21,0)</x:f>
        <x:v>0.4554744211430237</x:v>
      </x:c>
      <x:c r="G21" s="23" t="n">
        <x:v>850</x:v>
      </x:c>
      <x:c r="H21" s="23" t="n">
        <x:v>13</x:v>
      </x:c>
      <x:c r="I21" s="23"/>
      <x:c r="J21" s="20"/>
      <x:c r="K21" s="26" t="n">
        <x:v>1</x:v>
      </x:c>
      <x:c r="L21" s="26" t="n">
        <x:v>1</x:v>
      </x:c>
      <x:c r="M21" s="14" t="str">
        <x:f>IF(AND(K21=1,L21=1),"both_correct",IF(K21=1,"vanilla_only",IF(L21=1,"candidate_only","both_wrong")))</x:f>
        <x:v>both_correct</x:v>
      </x:c>
      <x:c r="N21" s="26" t="n">
        <x:v>0</x:v>
      </x:c>
      <x:c r="O21" s="26" t="n">
        <x:v>0</x:v>
      </x:c>
    </x:row>
    <x:row r="22" ht="21" customHeight="1">
      <x:c r="A22" s="14" t="str">
        <x:v>投诉分类中文</x:v>
      </x:c>
      <x:c r="B22" s="14" t="str">
        <x:v>MAECOM00012</x:v>
      </x:c>
      <x:c r="C22" s="17" t="n">
        <x:v>63.0699</x:v>
      </x:c>
      <x:c r="D22" s="17" t="n">
        <x:v>47.1104</x:v>
      </x:c>
      <x:c r="E22" s="17" t="n">
        <x:f>C22-D22</x:f>
        <x:v>15.959499999999998</x:v>
      </x:c>
      <x:c r="F22" s="20" t="n">
        <x:f>IFERROR(E22/C22,0)</x:f>
        <x:v>0.2530446377749132</x:v>
      </x:c>
      <x:c r="G22" s="23" t="n">
        <x:v>1027</x:v>
      </x:c>
      <x:c r="H22" s="23" t="n">
        <x:v>13</x:v>
      </x:c>
      <x:c r="I22" s="23"/>
      <x:c r="J22" s="20"/>
      <x:c r="K22" s="26" t="n">
        <x:v>0</x:v>
      </x:c>
      <x:c r="L22" s="26" t="n">
        <x:v>1</x:v>
      </x:c>
      <x:c r="M22" s="14" t="str">
        <x:f>IF(AND(K22=1,L22=1),"both_correct",IF(K22=1,"vanilla_only",IF(L22=1,"candidate_only","both_wrong")))</x:f>
        <x:v>candidate_only</x:v>
      </x:c>
      <x:c r="N22" s="26" t="n">
        <x:v>0</x:v>
      </x:c>
      <x:c r="O22" s="26" t="n">
        <x:v>0</x:v>
      </x:c>
    </x:row>
    <x:row r="23" ht="21" customHeight="1">
      <x:c r="A23" s="14" t="str">
        <x:v>投诉分类中文</x:v>
      </x:c>
      <x:c r="B23" s="14" t="str">
        <x:v>MAECOM00013</x:v>
      </x:c>
      <x:c r="C23" s="17" t="n">
        <x:v>43.4826</x:v>
      </x:c>
      <x:c r="D23" s="17" t="n">
        <x:v>35.2803</x:v>
      </x:c>
      <x:c r="E23" s="17" t="n">
        <x:f>C23-D23</x:f>
        <x:v>8.202300000000001</x:v>
      </x:c>
      <x:c r="F23" s="20" t="n">
        <x:f>IFERROR(E23/C23,0)</x:f>
        <x:v>0.18863407431938295</x:v>
      </x:c>
      <x:c r="G23" s="23" t="n">
        <x:v>740</x:v>
      </x:c>
      <x:c r="H23" s="23" t="n">
        <x:v>13</x:v>
      </x:c>
      <x:c r="I23" s="23"/>
      <x:c r="J23" s="20"/>
      <x:c r="K23" s="26" t="n">
        <x:v>1</x:v>
      </x:c>
      <x:c r="L23" s="26" t="n">
        <x:v>1</x:v>
      </x:c>
      <x:c r="M23" s="14" t="str">
        <x:f>IF(AND(K23=1,L23=1),"both_correct",IF(K23=1,"vanilla_only",IF(L23=1,"candidate_only","both_wrong")))</x:f>
        <x:v>both_correct</x:v>
      </x:c>
      <x:c r="N23" s="26" t="n">
        <x:v>0</x:v>
      </x:c>
      <x:c r="O23" s="26" t="n">
        <x:v>0</x:v>
      </x:c>
    </x:row>
    <x:row r="24" ht="21" customHeight="1">
      <x:c r="A24" s="14" t="str">
        <x:v>投诉分类中文</x:v>
      </x:c>
      <x:c r="B24" s="14" t="str">
        <x:v>MAECOM00014</x:v>
      </x:c>
      <x:c r="C24" s="17" t="n">
        <x:v>47.3618</x:v>
      </x:c>
      <x:c r="D24" s="17" t="n">
        <x:v>29.8779</x:v>
      </x:c>
      <x:c r="E24" s="17" t="n">
        <x:f>C24-D24</x:f>
        <x:v>17.483900000000002</x:v>
      </x:c>
      <x:c r="F24" s="20" t="n">
        <x:f>IFERROR(E24/C24,0)</x:f>
        <x:v>0.36915615538260793</x:v>
      </x:c>
      <x:c r="G24" s="23" t="n">
        <x:v>787</x:v>
      </x:c>
      <x:c r="H24" s="23" t="n">
        <x:v>13</x:v>
      </x:c>
      <x:c r="I24" s="23"/>
      <x:c r="J24" s="20"/>
      <x:c r="K24" s="26" t="n">
        <x:v>1</x:v>
      </x:c>
      <x:c r="L24" s="26" t="n">
        <x:v>1</x:v>
      </x:c>
      <x:c r="M24" s="14" t="str">
        <x:f>IF(AND(K24=1,L24=1),"both_correct",IF(K24=1,"vanilla_only",IF(L24=1,"candidate_only","both_wrong")))</x:f>
        <x:v>both_correct</x:v>
      </x:c>
      <x:c r="N24" s="26" t="n">
        <x:v>0</x:v>
      </x:c>
      <x:c r="O24" s="26" t="n">
        <x:v>0</x:v>
      </x:c>
    </x:row>
    <x:row r="25" ht="21" customHeight="1">
      <x:c r="A25" s="14" t="str">
        <x:v>投诉分类中文</x:v>
      </x:c>
      <x:c r="B25" s="14" t="str">
        <x:v>MAECOM00015</x:v>
      </x:c>
      <x:c r="C25" s="17" t="n">
        <x:v>56.578</x:v>
      </x:c>
      <x:c r="D25" s="17" t="n">
        <x:v>30.7641</x:v>
      </x:c>
      <x:c r="E25" s="17" t="n">
        <x:f>C25-D25</x:f>
        <x:v>25.813900000000004</x:v>
      </x:c>
      <x:c r="F25" s="20" t="n">
        <x:f>IFERROR(E25/C25,0)</x:f>
        <x:v>0.4562533140089788</x:v>
      </x:c>
      <x:c r="G25" s="23" t="n">
        <x:v>889</x:v>
      </x:c>
      <x:c r="H25" s="23" t="n">
        <x:v>13</x:v>
      </x:c>
      <x:c r="I25" s="23"/>
      <x:c r="J25" s="20"/>
      <x:c r="K25" s="26" t="n">
        <x:v>1</x:v>
      </x:c>
      <x:c r="L25" s="26" t="n">
        <x:v>1</x:v>
      </x:c>
      <x:c r="M25" s="14" t="str">
        <x:f>IF(AND(K25=1,L25=1),"both_correct",IF(K25=1,"vanilla_only",IF(L25=1,"candidate_only","both_wrong")))</x:f>
        <x:v>both_correct</x:v>
      </x:c>
      <x:c r="N25" s="26" t="n">
        <x:v>0</x:v>
      </x:c>
      <x:c r="O25" s="26" t="n">
        <x:v>0</x:v>
      </x:c>
    </x:row>
    <x:row r="26" ht="21" customHeight="1">
      <x:c r="A26" s="14" t="str">
        <x:v>投诉分类中文</x:v>
      </x:c>
      <x:c r="B26" s="14" t="str">
        <x:v>MAECOM00016</x:v>
      </x:c>
      <x:c r="C26" s="17" t="n">
        <x:v>62.6153</x:v>
      </x:c>
      <x:c r="D26" s="17" t="n">
        <x:v>28.956</x:v>
      </x:c>
      <x:c r="E26" s="17" t="n">
        <x:f>C26-D26</x:f>
        <x:v>33.6593</x:v>
      </x:c>
      <x:c r="F26" s="20" t="n">
        <x:f>IFERROR(E26/C26,0)</x:f>
        <x:v>0.5375571146349215</x:v>
      </x:c>
      <x:c r="G26" s="23" t="n">
        <x:v>1042</x:v>
      </x:c>
      <x:c r="H26" s="23" t="n">
        <x:v>13</x:v>
      </x:c>
      <x:c r="I26" s="23"/>
      <x:c r="J26" s="20"/>
      <x:c r="K26" s="26" t="n">
        <x:v>1</x:v>
      </x:c>
      <x:c r="L26" s="26" t="n">
        <x:v>1</x:v>
      </x:c>
      <x:c r="M26" s="14" t="str">
        <x:f>IF(AND(K26=1,L26=1),"both_correct",IF(K26=1,"vanilla_only",IF(L26=1,"candidate_only","both_wrong")))</x:f>
        <x:v>both_correct</x:v>
      </x:c>
      <x:c r="N26" s="26" t="n">
        <x:v>0</x:v>
      </x:c>
      <x:c r="O26" s="26" t="n">
        <x:v>0</x:v>
      </x:c>
    </x:row>
    <x:row r="27" ht="21" customHeight="1">
      <x:c r="A27" s="14" t="str">
        <x:v>投诉分类中文</x:v>
      </x:c>
      <x:c r="B27" s="14" t="str">
        <x:v>MAECOM00017</x:v>
      </x:c>
      <x:c r="C27" s="17" t="n">
        <x:v>51.3586</x:v>
      </x:c>
      <x:c r="D27" s="17" t="n">
        <x:v>31.0864</x:v>
      </x:c>
      <x:c r="E27" s="17" t="n">
        <x:f>C27-D27</x:f>
        <x:v>20.2722</x:v>
      </x:c>
      <x:c r="F27" s="20" t="n">
        <x:f>IFERROR(E27/C27,0)</x:f>
        <x:v>0.3947187033914476</x:v>
      </x:c>
      <x:c r="G27" s="23" t="n">
        <x:v>846</x:v>
      </x:c>
      <x:c r="H27" s="23" t="n">
        <x:v>13</x:v>
      </x:c>
      <x:c r="I27" s="23"/>
      <x:c r="J27" s="20"/>
      <x:c r="K27" s="26" t="n">
        <x:v>1</x:v>
      </x:c>
      <x:c r="L27" s="26" t="n">
        <x:v>1</x:v>
      </x:c>
      <x:c r="M27" s="14" t="str">
        <x:f>IF(AND(K27=1,L27=1),"both_correct",IF(K27=1,"vanilla_only",IF(L27=1,"candidate_only","both_wrong")))</x:f>
        <x:v>both_correct</x:v>
      </x:c>
      <x:c r="N27" s="26" t="n">
        <x:v>0</x:v>
      </x:c>
      <x:c r="O27" s="26" t="n">
        <x:v>0</x:v>
      </x:c>
    </x:row>
    <x:row r="28" ht="21" customHeight="1">
      <x:c r="A28" s="14" t="str">
        <x:v>投诉分类中文</x:v>
      </x:c>
      <x:c r="B28" s="14" t="str">
        <x:v>MAECOM00018</x:v>
      </x:c>
      <x:c r="C28" s="17" t="n">
        <x:v>54.5941</x:v>
      </x:c>
      <x:c r="D28" s="17" t="n">
        <x:v>30.4118</x:v>
      </x:c>
      <x:c r="E28" s="17" t="n">
        <x:f>C28-D28</x:f>
        <x:v>24.182299999999998</x:v>
      </x:c>
      <x:c r="F28" s="20" t="n">
        <x:f>IFERROR(E28/C28,0)</x:f>
        <x:v>0.442947131649757</x:v>
      </x:c>
      <x:c r="G28" s="23" t="n">
        <x:v>829</x:v>
      </x:c>
      <x:c r="H28" s="23" t="n">
        <x:v>10</x:v>
      </x:c>
      <x:c r="I28" s="23"/>
      <x:c r="J28" s="20"/>
      <x:c r="K28" s="26" t="n">
        <x:v>0</x:v>
      </x:c>
      <x:c r="L28" s="26" t="n">
        <x:v>1</x:v>
      </x:c>
      <x:c r="M28" s="14" t="str">
        <x:f>IF(AND(K28=1,L28=1),"both_correct",IF(K28=1,"vanilla_only",IF(L28=1,"candidate_only","both_wrong")))</x:f>
        <x:v>candidate_only</x:v>
      </x:c>
      <x:c r="N28" s="26" t="n">
        <x:v>0</x:v>
      </x:c>
      <x:c r="O28" s="26" t="n">
        <x:v>0</x:v>
      </x:c>
    </x:row>
    <x:row r="29" ht="21" customHeight="1">
      <x:c r="A29" s="14" t="str">
        <x:v>投诉分类中文</x:v>
      </x:c>
      <x:c r="B29" s="14" t="str">
        <x:v>MAECOM00019</x:v>
      </x:c>
      <x:c r="C29" s="17" t="n">
        <x:v>59.4075</x:v>
      </x:c>
      <x:c r="D29" s="17" t="n">
        <x:v>32.1908</x:v>
      </x:c>
      <x:c r="E29" s="17" t="n">
        <x:f>C29-D29</x:f>
        <x:v>27.216699999999996</x:v>
      </x:c>
      <x:c r="F29" s="20" t="n">
        <x:f>IFERROR(E29/C29,0)</x:f>
        <x:v>0.45813575726970496</x:v>
      </x:c>
      <x:c r="G29" s="23" t="n">
        <x:v>895</x:v>
      </x:c>
      <x:c r="H29" s="23" t="n">
        <x:v>10</x:v>
      </x:c>
      <x:c r="I29" s="23"/>
      <x:c r="J29" s="20"/>
      <x:c r="K29" s="26" t="n">
        <x:v>1</x:v>
      </x:c>
      <x:c r="L29" s="26" t="n">
        <x:v>1</x:v>
      </x:c>
      <x:c r="M29" s="14" t="str">
        <x:f>IF(AND(K29=1,L29=1),"both_correct",IF(K29=1,"vanilla_only",IF(L29=1,"candidate_only","both_wrong")))</x:f>
        <x:v>both_correct</x:v>
      </x:c>
      <x:c r="N29" s="26" t="n">
        <x:v>0</x:v>
      </x:c>
      <x:c r="O29" s="26" t="n">
        <x:v>0</x:v>
      </x:c>
    </x:row>
    <x:row r="30" ht="21" customHeight="1">
      <x:c r="A30" s="14" t="str">
        <x:v>投诉分类中文</x:v>
      </x:c>
      <x:c r="B30" s="14" t="str">
        <x:v>MAECOM00020</x:v>
      </x:c>
      <x:c r="C30" s="17" t="n">
        <x:v>53.7785</x:v>
      </x:c>
      <x:c r="D30" s="17" t="n">
        <x:v>28.0334</x:v>
      </x:c>
      <x:c r="E30" s="17" t="n">
        <x:f>C30-D30</x:f>
        <x:v>25.7451</x:v>
      </x:c>
      <x:c r="F30" s="20" t="n">
        <x:f>IFERROR(E30/C30,0)</x:f>
        <x:v>0.4787247691921493</x:v>
      </x:c>
      <x:c r="G30" s="23" t="n">
        <x:v>828</x:v>
      </x:c>
      <x:c r="H30" s="23" t="n">
        <x:v>10</x:v>
      </x:c>
      <x:c r="I30" s="23"/>
      <x:c r="J30" s="20"/>
      <x:c r="K30" s="26" t="n">
        <x:v>1</x:v>
      </x:c>
      <x:c r="L30" s="26" t="n">
        <x:v>1</x:v>
      </x:c>
      <x:c r="M30" s="14" t="str">
        <x:f>IF(AND(K30=1,L30=1),"both_correct",IF(K30=1,"vanilla_only",IF(L30=1,"candidate_only","both_wrong")))</x:f>
        <x:v>both_correct</x:v>
      </x:c>
      <x:c r="N30" s="26" t="n">
        <x:v>0</x:v>
      </x:c>
      <x:c r="O30" s="26" t="n">
        <x:v>0</x:v>
      </x:c>
    </x:row>
    <x:row r="31" ht="21" customHeight="1">
      <x:c r="A31" s="14" t="str">
        <x:v>投诉分类中文</x:v>
      </x:c>
      <x:c r="B31" s="14" t="str">
        <x:v>MAECOM00021</x:v>
      </x:c>
      <x:c r="C31" s="17" t="n">
        <x:v>50.4728</x:v>
      </x:c>
      <x:c r="D31" s="17" t="n">
        <x:v>67.6446</x:v>
      </x:c>
      <x:c r="E31" s="17" t="n">
        <x:f>C31-D31</x:f>
        <x:v>-17.171799999999998</x:v>
      </x:c>
      <x:c r="F31" s="20" t="n">
        <x:f>IFERROR(E31/C31,0)</x:f>
        <x:v>-0.3402188901745098</x:v>
      </x:c>
      <x:c r="G31" s="23" t="n">
        <x:v>758</x:v>
      </x:c>
      <x:c r="H31" s="23" t="n">
        <x:v>11</x:v>
      </x:c>
      <x:c r="I31" s="23"/>
      <x:c r="J31" s="20"/>
      <x:c r="K31" s="26" t="n">
        <x:v>1</x:v>
      </x:c>
      <x:c r="L31" s="26" t="n">
        <x:v>0</x:v>
      </x:c>
      <x:c r="M31" s="14" t="str">
        <x:f>IF(AND(K31=1,L31=1),"both_correct",IF(K31=1,"vanilla_only",IF(L31=1,"candidate_only","both_wrong")))</x:f>
        <x:v>vanilla_only</x:v>
      </x:c>
      <x:c r="N31" s="26" t="n">
        <x:v>0</x:v>
      </x:c>
      <x:c r="O31" s="26" t="n">
        <x:v>0</x:v>
      </x:c>
    </x:row>
    <x:row r="32" ht="21" customHeight="1">
      <x:c r="A32" s="14" t="str">
        <x:v>投诉分类中文</x:v>
      </x:c>
      <x:c r="B32" s="14" t="str">
        <x:v>MAECOM00022</x:v>
      </x:c>
      <x:c r="C32" s="17" t="n">
        <x:v>62.0586</x:v>
      </x:c>
      <x:c r="D32" s="17" t="n">
        <x:v>72.1648</x:v>
      </x:c>
      <x:c r="E32" s="17" t="n">
        <x:f>C32-D32</x:f>
        <x:v>-10.106200000000001</x:v>
      </x:c>
      <x:c r="F32" s="20" t="n">
        <x:f>IFERROR(E32/C32,0)</x:f>
        <x:v>-0.162849306945371</x:v>
      </x:c>
      <x:c r="G32" s="23" t="n">
        <x:v>1011</x:v>
      </x:c>
      <x:c r="H32" s="23" t="n">
        <x:v>9</x:v>
      </x:c>
      <x:c r="I32" s="23"/>
      <x:c r="J32" s="20"/>
      <x:c r="K32" s="26" t="n">
        <x:v>1</x:v>
      </x:c>
      <x:c r="L32" s="26" t="n">
        <x:v>0</x:v>
      </x:c>
      <x:c r="M32" s="14" t="str">
        <x:f>IF(AND(K32=1,L32=1),"both_correct",IF(K32=1,"vanilla_only",IF(L32=1,"candidate_only","both_wrong")))</x:f>
        <x:v>vanilla_only</x:v>
      </x:c>
      <x:c r="N32" s="26" t="n">
        <x:v>0</x:v>
      </x:c>
      <x:c r="O32" s="26" t="n">
        <x:v>0</x:v>
      </x:c>
    </x:row>
    <x:row r="33" ht="21" customHeight="1">
      <x:c r="A33" s="14" t="str">
        <x:v>投诉分类中文</x:v>
      </x:c>
      <x:c r="B33" s="14" t="str">
        <x:v>MAECOM00023</x:v>
      </x:c>
      <x:c r="C33" s="17" t="n">
        <x:v>49.0691</x:v>
      </x:c>
      <x:c r="D33" s="17" t="n">
        <x:v>27.9608</x:v>
      </x:c>
      <x:c r="E33" s="17" t="n">
        <x:f>C33-D33</x:f>
        <x:v>21.1083</x:v>
      </x:c>
      <x:c r="F33" s="20" t="n">
        <x:f>IFERROR(E33/C33,0)</x:f>
        <x:v>0.4301749981149033</x:v>
      </x:c>
      <x:c r="G33" s="23" t="n">
        <x:v>869</x:v>
      </x:c>
      <x:c r="H33" s="23" t="n">
        <x:v>10</x:v>
      </x:c>
      <x:c r="I33" s="23"/>
      <x:c r="J33" s="20"/>
      <x:c r="K33" s="26" t="n">
        <x:v>1</x:v>
      </x:c>
      <x:c r="L33" s="26" t="n">
        <x:v>1</x:v>
      </x:c>
      <x:c r="M33" s="14" t="str">
        <x:f>IF(AND(K33=1,L33=1),"both_correct",IF(K33=1,"vanilla_only",IF(L33=1,"candidate_only","both_wrong")))</x:f>
        <x:v>both_correct</x:v>
      </x:c>
      <x:c r="N33" s="26" t="n">
        <x:v>0</x:v>
      </x:c>
      <x:c r="O33" s="26" t="n">
        <x:v>0</x:v>
      </x:c>
    </x:row>
    <x:row r="34" ht="21" customHeight="1">
      <x:c r="A34" s="14" t="str">
        <x:v>投诉分类中文</x:v>
      </x:c>
      <x:c r="B34" s="14" t="str">
        <x:v>MAECOM00024</x:v>
      </x:c>
      <x:c r="C34" s="17" t="n">
        <x:v>43.5527</x:v>
      </x:c>
      <x:c r="D34" s="17" t="n">
        <x:v>30.107</x:v>
      </x:c>
      <x:c r="E34" s="17" t="n">
        <x:f>C34-D34</x:f>
        <x:v>13.445700000000002</x:v>
      </x:c>
      <x:c r="F34" s="20" t="n">
        <x:f>IFERROR(E34/C34,0)</x:f>
        <x:v>0.3087225361458647</x:v>
      </x:c>
      <x:c r="G34" s="23" t="n">
        <x:v>770</x:v>
      </x:c>
      <x:c r="H34" s="23" t="n">
        <x:v>10</x:v>
      </x:c>
      <x:c r="I34" s="23"/>
      <x:c r="J34" s="20"/>
      <x:c r="K34" s="26" t="n">
        <x:v>1</x:v>
      </x:c>
      <x:c r="L34" s="26" t="n">
        <x:v>1</x:v>
      </x:c>
      <x:c r="M34" s="14" t="str">
        <x:f>IF(AND(K34=1,L34=1),"both_correct",IF(K34=1,"vanilla_only",IF(L34=1,"candidate_only","both_wrong")))</x:f>
        <x:v>both_correct</x:v>
      </x:c>
      <x:c r="N34" s="26" t="n">
        <x:v>0</x:v>
      </x:c>
      <x:c r="O34" s="26" t="n">
        <x:v>0</x:v>
      </x:c>
    </x:row>
    <x:row r="35" ht="21" customHeight="1">
      <x:c r="A35" s="14" t="str">
        <x:v>投诉分类中文</x:v>
      </x:c>
      <x:c r="B35" s="14" t="str">
        <x:v>MAECOM00025</x:v>
      </x:c>
      <x:c r="C35" s="17" t="n">
        <x:v>55.9272</x:v>
      </x:c>
      <x:c r="D35" s="17" t="n">
        <x:v>34.3426</x:v>
      </x:c>
      <x:c r="E35" s="17" t="n">
        <x:f>C35-D35</x:f>
        <x:v>21.584600000000002</x:v>
      </x:c>
      <x:c r="F35" s="20" t="n">
        <x:f>IFERROR(E35/C35,0)</x:f>
        <x:v>0.3859410090260196</x:v>
      </x:c>
      <x:c r="G35" s="23" t="n">
        <x:v>962</x:v>
      </x:c>
      <x:c r="H35" s="23" t="n">
        <x:v>10</x:v>
      </x:c>
      <x:c r="I35" s="23"/>
      <x:c r="J35" s="20"/>
      <x:c r="K35" s="26" t="n">
        <x:v>1</x:v>
      </x:c>
      <x:c r="L35" s="26" t="n">
        <x:v>1</x:v>
      </x:c>
      <x:c r="M35" s="14" t="str">
        <x:f>IF(AND(K35=1,L35=1),"both_correct",IF(K35=1,"vanilla_only",IF(L35=1,"candidate_only","both_wrong")))</x:f>
        <x:v>both_correct</x:v>
      </x:c>
      <x:c r="N35" s="26" t="n">
        <x:v>0</x:v>
      </x:c>
      <x:c r="O35" s="26" t="n">
        <x:v>0</x:v>
      </x:c>
    </x:row>
    <x:row r="36" ht="21" customHeight="1">
      <x:c r="A36" s="14" t="str">
        <x:v>投诉分类中文</x:v>
      </x:c>
      <x:c r="B36" s="14" t="str">
        <x:v>MAECOM00026</x:v>
      </x:c>
      <x:c r="C36" s="17" t="n">
        <x:v>62.5283</x:v>
      </x:c>
      <x:c r="D36" s="17" t="n">
        <x:v>49.3377</x:v>
      </x:c>
      <x:c r="E36" s="17" t="n">
        <x:f>C36-D36</x:f>
        <x:v>13.190600000000003</x:v>
      </x:c>
      <x:c r="F36" s="20" t="n">
        <x:f>IFERROR(E36/C36,0)</x:f>
        <x:v>0.2109540799925794</x:v>
      </x:c>
      <x:c r="G36" s="23" t="n">
        <x:v>1000</x:v>
      </x:c>
      <x:c r="H36" s="23" t="n">
        <x:v>10</x:v>
      </x:c>
      <x:c r="I36" s="23"/>
      <x:c r="J36" s="20"/>
      <x:c r="K36" s="26" t="n">
        <x:v>0</x:v>
      </x:c>
      <x:c r="L36" s="26" t="n">
        <x:v>1</x:v>
      </x:c>
      <x:c r="M36" s="14" t="str">
        <x:f>IF(AND(K36=1,L36=1),"both_correct",IF(K36=1,"vanilla_only",IF(L36=1,"candidate_only","both_wrong")))</x:f>
        <x:v>candidate_only</x:v>
      </x:c>
      <x:c r="N36" s="26" t="n">
        <x:v>0</x:v>
      </x:c>
      <x:c r="O36" s="26" t="n">
        <x:v>0</x:v>
      </x:c>
    </x:row>
    <x:row r="37" ht="21" customHeight="1">
      <x:c r="A37" s="14" t="str">
        <x:v>投诉分类中文</x:v>
      </x:c>
      <x:c r="B37" s="14" t="str">
        <x:v>MAECOM00027</x:v>
      </x:c>
      <x:c r="C37" s="17" t="n">
        <x:v>67.2209</x:v>
      </x:c>
      <x:c r="D37" s="17" t="n">
        <x:v>30.945</x:v>
      </x:c>
      <x:c r="E37" s="17" t="n">
        <x:f>C37-D37</x:f>
        <x:v>36.2759</x:v>
      </x:c>
      <x:c r="F37" s="20" t="n">
        <x:f>IFERROR(E37/C37,0)</x:f>
        <x:v>0.5396521022479616</x:v>
      </x:c>
      <x:c r="G37" s="23" t="n">
        <x:v>1089</x:v>
      </x:c>
      <x:c r="H37" s="23" t="n">
        <x:v>10</x:v>
      </x:c>
      <x:c r="I37" s="23"/>
      <x:c r="J37" s="20"/>
      <x:c r="K37" s="26" t="n">
        <x:v>1</x:v>
      </x:c>
      <x:c r="L37" s="26" t="n">
        <x:v>1</x:v>
      </x:c>
      <x:c r="M37" s="14" t="str">
        <x:f>IF(AND(K37=1,L37=1),"both_correct",IF(K37=1,"vanilla_only",IF(L37=1,"candidate_only","both_wrong")))</x:f>
        <x:v>both_correct</x:v>
      </x:c>
      <x:c r="N37" s="26" t="n">
        <x:v>0</x:v>
      </x:c>
      <x:c r="O37" s="26" t="n">
        <x:v>0</x:v>
      </x:c>
    </x:row>
    <x:row r="38" ht="21" customHeight="1">
      <x:c r="A38" s="14" t="str">
        <x:v>投诉分类中文</x:v>
      </x:c>
      <x:c r="B38" s="14" t="str">
        <x:v>MAECOM00028</x:v>
      </x:c>
      <x:c r="C38" s="17" t="n">
        <x:v>45.6475</x:v>
      </x:c>
      <x:c r="D38" s="17" t="n">
        <x:v>26.8622</x:v>
      </x:c>
      <x:c r="E38" s="17" t="n">
        <x:f>C38-D38</x:f>
        <x:v>18.7853</x:v>
      </x:c>
      <x:c r="F38" s="20" t="n">
        <x:f>IFERROR(E38/C38,0)</x:f>
        <x:v>0.4115296566077003</x:v>
      </x:c>
      <x:c r="G38" s="23" t="n">
        <x:v>847</x:v>
      </x:c>
      <x:c r="H38" s="23" t="n">
        <x:v>10</x:v>
      </x:c>
      <x:c r="I38" s="23"/>
      <x:c r="J38" s="20"/>
      <x:c r="K38" s="26" t="n">
        <x:v>1</x:v>
      </x:c>
      <x:c r="L38" s="26" t="n">
        <x:v>1</x:v>
      </x:c>
      <x:c r="M38" s="14" t="str">
        <x:f>IF(AND(K38=1,L38=1),"both_correct",IF(K38=1,"vanilla_only",IF(L38=1,"candidate_only","both_wrong")))</x:f>
        <x:v>both_correct</x:v>
      </x:c>
      <x:c r="N38" s="26" t="n">
        <x:v>0</x:v>
      </x:c>
      <x:c r="O38" s="26" t="n">
        <x:v>0</x:v>
      </x:c>
    </x:row>
    <x:row r="39" ht="21" customHeight="1">
      <x:c r="A39" s="14" t="str">
        <x:v>投诉分类中文</x:v>
      </x:c>
      <x:c r="B39" s="14" t="str">
        <x:v>MAECOM00029</x:v>
      </x:c>
      <x:c r="C39" s="17" t="n">
        <x:v>51.8956</x:v>
      </x:c>
      <x:c r="D39" s="17" t="n">
        <x:v>33.6237</x:v>
      </x:c>
      <x:c r="E39" s="17" t="n">
        <x:f>C39-D39</x:f>
        <x:v>18.271900000000002</x:v>
      </x:c>
      <x:c r="F39" s="20" t="n">
        <x:f>IFERROR(E39/C39,0)</x:f>
        <x:v>0.3520895798487733</x:v>
      </x:c>
      <x:c r="G39" s="23" t="n">
        <x:v>880</x:v>
      </x:c>
      <x:c r="H39" s="23" t="n">
        <x:v>10</x:v>
      </x:c>
      <x:c r="I39" s="23"/>
      <x:c r="J39" s="20"/>
      <x:c r="K39" s="26" t="n">
        <x:v>1</x:v>
      </x:c>
      <x:c r="L39" s="26" t="n">
        <x:v>1</x:v>
      </x:c>
      <x:c r="M39" s="14" t="str">
        <x:f>IF(AND(K39=1,L39=1),"both_correct",IF(K39=1,"vanilla_only",IF(L39=1,"candidate_only","both_wrong")))</x:f>
        <x:v>both_correct</x:v>
      </x:c>
      <x:c r="N39" s="26" t="n">
        <x:v>0</x:v>
      </x:c>
      <x:c r="O39" s="26" t="n">
        <x:v>0</x:v>
      </x:c>
    </x:row>
    <x:row r="40" ht="21" customHeight="1">
      <x:c r="A40" s="14" t="str">
        <x:v>投诉分类中文</x:v>
      </x:c>
      <x:c r="B40" s="14" t="str">
        <x:v>MAECOM00030</x:v>
      </x:c>
      <x:c r="C40" s="17" t="n">
        <x:v>46.3013</x:v>
      </x:c>
      <x:c r="D40" s="17" t="n">
        <x:v>28.9044</x:v>
      </x:c>
      <x:c r="E40" s="17" t="n">
        <x:f>C40-D40</x:f>
        <x:v>17.3969</x:v>
      </x:c>
      <x:c r="F40" s="20" t="n">
        <x:f>IFERROR(E40/C40,0)</x:f>
        <x:v>0.3757324308388749</x:v>
      </x:c>
      <x:c r="G40" s="23" t="n">
        <x:v>711</x:v>
      </x:c>
      <x:c r="H40" s="23" t="n">
        <x:v>10</x:v>
      </x:c>
      <x:c r="I40" s="23"/>
      <x:c r="J40" s="20"/>
      <x:c r="K40" s="26" t="n">
        <x:v>1</x:v>
      </x:c>
      <x:c r="L40" s="26" t="n">
        <x:v>1</x:v>
      </x:c>
      <x:c r="M40" s="14" t="str">
        <x:f>IF(AND(K40=1,L40=1),"both_correct",IF(K40=1,"vanilla_only",IF(L40=1,"candidate_only","both_wrong")))</x:f>
        <x:v>both_correct</x:v>
      </x:c>
      <x:c r="N40" s="26" t="n">
        <x:v>0</x:v>
      </x:c>
      <x:c r="O40" s="26" t="n">
        <x:v>0</x:v>
      </x:c>
    </x:row>
    <x:row r="41" ht="21" customHeight="1">
      <x:c r="A41" s="14" t="str">
        <x:v>投诉分类中文</x:v>
      </x:c>
      <x:c r="B41" s="14" t="str">
        <x:v>MAECOM00031</x:v>
      </x:c>
      <x:c r="C41" s="17" t="n">
        <x:v>46.9883</x:v>
      </x:c>
      <x:c r="D41" s="17" t="n">
        <x:v>28.4523</x:v>
      </x:c>
      <x:c r="E41" s="17" t="n">
        <x:f>C41-D41</x:f>
        <x:v>18.536</x:v>
      </x:c>
      <x:c r="F41" s="20" t="n">
        <x:f>IFERROR(E41/C41,0)</x:f>
        <x:v>0.3944811793574145</x:v>
      </x:c>
      <x:c r="G41" s="23" t="n">
        <x:v>796</x:v>
      </x:c>
      <x:c r="H41" s="23" t="n">
        <x:v>10</x:v>
      </x:c>
      <x:c r="I41" s="23"/>
      <x:c r="J41" s="20"/>
      <x:c r="K41" s="26" t="n">
        <x:v>1</x:v>
      </x:c>
      <x:c r="L41" s="26" t="n">
        <x:v>1</x:v>
      </x:c>
      <x:c r="M41" s="14" t="str">
        <x:f>IF(AND(K41=1,L41=1),"both_correct",IF(K41=1,"vanilla_only",IF(L41=1,"candidate_only","both_wrong")))</x:f>
        <x:v>both_correct</x:v>
      </x:c>
      <x:c r="N41" s="26" t="n">
        <x:v>0</x:v>
      </x:c>
      <x:c r="O41" s="26" t="n">
        <x:v>0</x:v>
      </x:c>
    </x:row>
    <x:row r="42" ht="21" customHeight="1">
      <x:c r="A42" s="14" t="str">
        <x:v>投诉分类中文</x:v>
      </x:c>
      <x:c r="B42" s="14" t="str">
        <x:v>MAECOM00032</x:v>
      </x:c>
      <x:c r="C42" s="17" t="n">
        <x:v>49.8573</x:v>
      </x:c>
      <x:c r="D42" s="17" t="n">
        <x:v>60.1972</x:v>
      </x:c>
      <x:c r="E42" s="17" t="n">
        <x:f>C42-D42</x:f>
        <x:v>-10.3399</x:v>
      </x:c>
      <x:c r="F42" s="20" t="n">
        <x:f>IFERROR(E42/C42,0)</x:f>
        <x:v>-0.20738989074819533</x:v>
      </x:c>
      <x:c r="G42" s="23" t="n">
        <x:v>878</x:v>
      </x:c>
      <x:c r="H42" s="23" t="n">
        <x:v>50</x:v>
      </x:c>
      <x:c r="I42" s="23"/>
      <x:c r="J42" s="20"/>
      <x:c r="K42" s="26" t="n">
        <x:v>1</x:v>
      </x:c>
      <x:c r="L42" s="26" t="n">
        <x:v>1</x:v>
      </x:c>
      <x:c r="M42" s="14" t="str">
        <x:f>IF(AND(K42=1,L42=1),"both_correct",IF(K42=1,"vanilla_only",IF(L42=1,"candidate_only","both_wrong")))</x:f>
        <x:v>both_correct</x:v>
      </x:c>
      <x:c r="N42" s="26" t="n">
        <x:v>0</x:v>
      </x:c>
      <x:c r="O42" s="26" t="n">
        <x:v>0</x:v>
      </x:c>
    </x:row>
    <x:row r="43" ht="21" customHeight="1">
      <x:c r="A43" s="14" t="str">
        <x:v>投诉分类中文</x:v>
      </x:c>
      <x:c r="B43" s="14" t="str">
        <x:v>MAECOM00033</x:v>
      </x:c>
      <x:c r="C43" s="17" t="n">
        <x:v>56.3144</x:v>
      </x:c>
      <x:c r="D43" s="17" t="n">
        <x:v>30.4127</x:v>
      </x:c>
      <x:c r="E43" s="17" t="n">
        <x:f>C43-D43</x:f>
        <x:v>25.901699999999998</x:v>
      </x:c>
      <x:c r="F43" s="20" t="n">
        <x:f>IFERROR(E43/C43,0)</x:f>
        <x:v>0.45994807722358755</x:v>
      </x:c>
      <x:c r="G43" s="23" t="n">
        <x:v>964</x:v>
      </x:c>
      <x:c r="H43" s="23" t="n">
        <x:v>9</x:v>
      </x:c>
      <x:c r="I43" s="23"/>
      <x:c r="J43" s="20"/>
      <x:c r="K43" s="26" t="n">
        <x:v>1</x:v>
      </x:c>
      <x:c r="L43" s="26" t="n">
        <x:v>1</x:v>
      </x:c>
      <x:c r="M43" s="14" t="str">
        <x:f>IF(AND(K43=1,L43=1),"both_correct",IF(K43=1,"vanilla_only",IF(L43=1,"candidate_only","both_wrong")))</x:f>
        <x:v>both_correct</x:v>
      </x:c>
      <x:c r="N43" s="26" t="n">
        <x:v>0</x:v>
      </x:c>
      <x:c r="O43" s="26" t="n">
        <x:v>0</x:v>
      </x:c>
    </x:row>
    <x:row r="44" ht="21" customHeight="1">
      <x:c r="A44" s="14" t="str">
        <x:v>投诉分类中文</x:v>
      </x:c>
      <x:c r="B44" s="14" t="str">
        <x:v>MAECOM00034</x:v>
      </x:c>
      <x:c r="C44" s="17" t="n">
        <x:v>50.2389</x:v>
      </x:c>
      <x:c r="D44" s="17" t="n">
        <x:v>34.3816</x:v>
      </x:c>
      <x:c r="E44" s="17" t="n">
        <x:f>C44-D44</x:f>
        <x:v>15.857300000000002</x:v>
      </x:c>
      <x:c r="F44" s="20" t="n">
        <x:f>IFERROR(E44/C44,0)</x:f>
        <x:v>0.3156378821988539</x:v>
      </x:c>
      <x:c r="G44" s="23" t="n">
        <x:v>825</x:v>
      </x:c>
      <x:c r="H44" s="23" t="n">
        <x:v>9</x:v>
      </x:c>
      <x:c r="I44" s="23"/>
      <x:c r="J44" s="20"/>
      <x:c r="K44" s="26" t="n">
        <x:v>1</x:v>
      </x:c>
      <x:c r="L44" s="26" t="n">
        <x:v>1</x:v>
      </x:c>
      <x:c r="M44" s="14" t="str">
        <x:f>IF(AND(K44=1,L44=1),"both_correct",IF(K44=1,"vanilla_only",IF(L44=1,"candidate_only","both_wrong")))</x:f>
        <x:v>both_correct</x:v>
      </x:c>
      <x:c r="N44" s="26" t="n">
        <x:v>0</x:v>
      </x:c>
      <x:c r="O44" s="26" t="n">
        <x:v>0</x:v>
      </x:c>
    </x:row>
    <x:row r="45" ht="21" customHeight="1">
      <x:c r="A45" s="14" t="str">
        <x:v>投诉分类中文</x:v>
      </x:c>
      <x:c r="B45" s="14" t="str">
        <x:v>MAECOM00035</x:v>
      </x:c>
      <x:c r="C45" s="17" t="n">
        <x:v>52.3322</x:v>
      </x:c>
      <x:c r="D45" s="17" t="n">
        <x:v>43.3227</x:v>
      </x:c>
      <x:c r="E45" s="17" t="n">
        <x:f>C45-D45</x:f>
        <x:v>9.009500000000003</x:v>
      </x:c>
      <x:c r="F45" s="20" t="n">
        <x:f>IFERROR(E45/C45,0)</x:f>
        <x:v>0.1721597792563661</x:v>
      </x:c>
      <x:c r="G45" s="23" t="n">
        <x:v>924</x:v>
      </x:c>
      <x:c r="H45" s="23" t="n">
        <x:v>9</x:v>
      </x:c>
      <x:c r="I45" s="23"/>
      <x:c r="J45" s="20"/>
      <x:c r="K45" s="26" t="n">
        <x:v>1</x:v>
      </x:c>
      <x:c r="L45" s="26" t="n">
        <x:v>1</x:v>
      </x:c>
      <x:c r="M45" s="14" t="str">
        <x:f>IF(AND(K45=1,L45=1),"both_correct",IF(K45=1,"vanilla_only",IF(L45=1,"candidate_only","both_wrong")))</x:f>
        <x:v>both_correct</x:v>
      </x:c>
      <x:c r="N45" s="26" t="n">
        <x:v>0</x:v>
      </x:c>
      <x:c r="O45" s="26" t="n">
        <x:v>0</x:v>
      </x:c>
    </x:row>
    <x:row r="46" ht="21" customHeight="1">
      <x:c r="A46" s="14" t="str">
        <x:v>投诉分类中文</x:v>
      </x:c>
      <x:c r="B46" s="14" t="str">
        <x:v>MAECOM00036</x:v>
      </x:c>
      <x:c r="C46" s="17" t="n">
        <x:v>60.508</x:v>
      </x:c>
      <x:c r="D46" s="17" t="n">
        <x:v>34.8351</x:v>
      </x:c>
      <x:c r="E46" s="17" t="n">
        <x:f>C46-D46</x:f>
        <x:v>25.672900000000006</x:v>
      </x:c>
      <x:c r="F46" s="20" t="n">
        <x:f>IFERROR(E46/C46,0)</x:f>
        <x:v>0.42428935016857283</x:v>
      </x:c>
      <x:c r="G46" s="23" t="n">
        <x:v>951</x:v>
      </x:c>
      <x:c r="H46" s="23" t="n">
        <x:v>10</x:v>
      </x:c>
      <x:c r="I46" s="23"/>
      <x:c r="J46" s="20"/>
      <x:c r="K46" s="26" t="n">
        <x:v>1</x:v>
      </x:c>
      <x:c r="L46" s="26" t="n">
        <x:v>1</x:v>
      </x:c>
      <x:c r="M46" s="14" t="str">
        <x:f>IF(AND(K46=1,L46=1),"both_correct",IF(K46=1,"vanilla_only",IF(L46=1,"candidate_only","both_wrong")))</x:f>
        <x:v>both_correct</x:v>
      </x:c>
      <x:c r="N46" s="26" t="n">
        <x:v>0</x:v>
      </x:c>
      <x:c r="O46" s="26" t="n">
        <x:v>0</x:v>
      </x:c>
    </x:row>
    <x:row r="47" ht="21" customHeight="1">
      <x:c r="A47" s="14" t="str">
        <x:v>投诉分类中文</x:v>
      </x:c>
      <x:c r="B47" s="14" t="str">
        <x:v>MAECOM00037</x:v>
      </x:c>
      <x:c r="C47" s="17" t="n">
        <x:v>48.0065</x:v>
      </x:c>
      <x:c r="D47" s="17" t="n">
        <x:v>29.8914</x:v>
      </x:c>
      <x:c r="E47" s="17" t="n">
        <x:f>C47-D47</x:f>
        <x:v>18.1151</x:v>
      </x:c>
      <x:c r="F47" s="20" t="n">
        <x:f>IFERROR(E47/C47,0)</x:f>
        <x:v>0.3773468176184475</x:v>
      </x:c>
      <x:c r="G47" s="23" t="n">
        <x:v>798</x:v>
      </x:c>
      <x:c r="H47" s="23" t="n">
        <x:v>9</x:v>
      </x:c>
      <x:c r="I47" s="23"/>
      <x:c r="J47" s="20"/>
      <x:c r="K47" s="26" t="n">
        <x:v>1</x:v>
      </x:c>
      <x:c r="L47" s="26" t="n">
        <x:v>1</x:v>
      </x:c>
      <x:c r="M47" s="14" t="str">
        <x:f>IF(AND(K47=1,L47=1),"both_correct",IF(K47=1,"vanilla_only",IF(L47=1,"candidate_only","both_wrong")))</x:f>
        <x:v>both_correct</x:v>
      </x:c>
      <x:c r="N47" s="26" t="n">
        <x:v>0</x:v>
      </x:c>
      <x:c r="O47" s="26" t="n">
        <x:v>0</x:v>
      </x:c>
    </x:row>
    <x:row r="48" ht="21" customHeight="1">
      <x:c r="A48" s="14" t="str">
        <x:v>投诉分类中文</x:v>
      </x:c>
      <x:c r="B48" s="14" t="str">
        <x:v>MAECOM00038</x:v>
      </x:c>
      <x:c r="C48" s="17" t="n">
        <x:v>71.7546</x:v>
      </x:c>
      <x:c r="D48" s="17" t="n">
        <x:v>30.5648</x:v>
      </x:c>
      <x:c r="E48" s="17" t="n">
        <x:f>C48-D48</x:f>
        <x:v>41.18979999999999</x:v>
      </x:c>
      <x:c r="F48" s="20" t="n">
        <x:f>IFERROR(E48/C48,0)</x:f>
        <x:v>0.5740370652195119</x:v>
      </x:c>
      <x:c r="G48" s="23" t="n">
        <x:v>1150</x:v>
      </x:c>
      <x:c r="H48" s="23" t="n">
        <x:v>9</x:v>
      </x:c>
      <x:c r="I48" s="23"/>
      <x:c r="J48" s="20"/>
      <x:c r="K48" s="26" t="n">
        <x:v>1</x:v>
      </x:c>
      <x:c r="L48" s="26" t="n">
        <x:v>0</x:v>
      </x:c>
      <x:c r="M48" s="14" t="str">
        <x:f>IF(AND(K48=1,L48=1),"both_correct",IF(K48=1,"vanilla_only",IF(L48=1,"candidate_only","both_wrong")))</x:f>
        <x:v>vanilla_only</x:v>
      </x:c>
      <x:c r="N48" s="26" t="n">
        <x:v>0</x:v>
      </x:c>
      <x:c r="O48" s="26" t="n">
        <x:v>0</x:v>
      </x:c>
    </x:row>
    <x:row r="49" ht="21" customHeight="1">
      <x:c r="A49" s="14" t="str">
        <x:v>投诉分类中文</x:v>
      </x:c>
      <x:c r="B49" s="14" t="str">
        <x:v>MAECOM00039</x:v>
      </x:c>
      <x:c r="C49" s="17" t="n">
        <x:v>60.0288</x:v>
      </x:c>
      <x:c r="D49" s="17" t="n">
        <x:v>27.6604</x:v>
      </x:c>
      <x:c r="E49" s="17" t="n">
        <x:f>C49-D49</x:f>
        <x:v>32.368399999999994</x:v>
      </x:c>
      <x:c r="F49" s="20" t="n">
        <x:f>IFERROR(E49/C49,0)</x:f>
        <x:v>0.5392145103683564</x:v>
      </x:c>
      <x:c r="G49" s="23" t="n">
        <x:v>1002</x:v>
      </x:c>
      <x:c r="H49" s="23" t="n">
        <x:v>9</x:v>
      </x:c>
      <x:c r="I49" s="23"/>
      <x:c r="J49" s="20"/>
      <x:c r="K49" s="26" t="n">
        <x:v>1</x:v>
      </x:c>
      <x:c r="L49" s="26" t="n">
        <x:v>1</x:v>
      </x:c>
      <x:c r="M49" s="14" t="str">
        <x:f>IF(AND(K49=1,L49=1),"both_correct",IF(K49=1,"vanilla_only",IF(L49=1,"candidate_only","both_wrong")))</x:f>
        <x:v>both_correct</x:v>
      </x:c>
      <x:c r="N49" s="26" t="n">
        <x:v>0</x:v>
      </x:c>
      <x:c r="O49" s="26" t="n">
        <x:v>0</x:v>
      </x:c>
    </x:row>
    <x:row r="50" ht="21" customHeight="1">
      <x:c r="A50" s="14" t="str">
        <x:v>投诉分类中文</x:v>
      </x:c>
      <x:c r="B50" s="14" t="str">
        <x:v>MAECOM00040</x:v>
      </x:c>
      <x:c r="C50" s="17" t="n">
        <x:v>50.683</x:v>
      </x:c>
      <x:c r="D50" s="17" t="n">
        <x:v>30.8332</x:v>
      </x:c>
      <x:c r="E50" s="17" t="n">
        <x:f>C50-D50</x:f>
        <x:v>19.8498</x:v>
      </x:c>
      <x:c r="F50" s="20" t="n">
        <x:f>IFERROR(E50/C50,0)</x:f>
        <x:v>0.3916461140816447</x:v>
      </x:c>
      <x:c r="G50" s="23" t="n">
        <x:v>871</x:v>
      </x:c>
      <x:c r="H50" s="23" t="n">
        <x:v>9</x:v>
      </x:c>
      <x:c r="I50" s="23"/>
      <x:c r="J50" s="20"/>
      <x:c r="K50" s="26" t="n">
        <x:v>1</x:v>
      </x:c>
      <x:c r="L50" s="26" t="n">
        <x:v>1</x:v>
      </x:c>
      <x:c r="M50" s="14" t="str">
        <x:f>IF(AND(K50=1,L50=1),"both_correct",IF(K50=1,"vanilla_only",IF(L50=1,"candidate_only","both_wrong")))</x:f>
        <x:v>both_correct</x:v>
      </x:c>
      <x:c r="N50" s="26" t="n">
        <x:v>0</x:v>
      </x:c>
      <x:c r="O50" s="26" t="n">
        <x:v>0</x:v>
      </x:c>
    </x:row>
    <x:row r="51" ht="21" customHeight="1">
      <x:c r="A51" s="14" t="str">
        <x:v>投诉分类中文</x:v>
      </x:c>
      <x:c r="B51" s="14" t="str">
        <x:v>MAECOM00041</x:v>
      </x:c>
      <x:c r="C51" s="17" t="n">
        <x:v>79.4048</x:v>
      </x:c>
      <x:c r="D51" s="17" t="n">
        <x:v>47.8932</x:v>
      </x:c>
      <x:c r="E51" s="17" t="n">
        <x:f>C51-D51</x:f>
        <x:v>31.511599999999994</x:v>
      </x:c>
      <x:c r="F51" s="20" t="n">
        <x:f>IFERROR(E51/C51,0)</x:f>
        <x:v>0.39684754574030784</x:v>
      </x:c>
      <x:c r="G51" s="23" t="n">
        <x:v>1239</x:v>
      </x:c>
      <x:c r="H51" s="23" t="n">
        <x:v>10</x:v>
      </x:c>
      <x:c r="I51" s="23"/>
      <x:c r="J51" s="20"/>
      <x:c r="K51" s="26" t="n">
        <x:v>0</x:v>
      </x:c>
      <x:c r="L51" s="26" t="n">
        <x:v>1</x:v>
      </x:c>
      <x:c r="M51" s="14" t="str">
        <x:f>IF(AND(K51=1,L51=1),"both_correct",IF(K51=1,"vanilla_only",IF(L51=1,"candidate_only","both_wrong")))</x:f>
        <x:v>candidate_only</x:v>
      </x:c>
      <x:c r="N51" s="26" t="n">
        <x:v>0</x:v>
      </x:c>
      <x:c r="O51" s="26" t="n">
        <x:v>0</x:v>
      </x:c>
    </x:row>
    <x:row r="52" ht="21" customHeight="1">
      <x:c r="A52" s="14" t="str">
        <x:v>投诉分类中文</x:v>
      </x:c>
      <x:c r="B52" s="14" t="str">
        <x:v>MAECOM00042</x:v>
      </x:c>
      <x:c r="C52" s="17" t="n">
        <x:v>51.3359</x:v>
      </x:c>
      <x:c r="D52" s="17" t="n">
        <x:v>30.7927</x:v>
      </x:c>
      <x:c r="E52" s="17" t="n">
        <x:f>C52-D52</x:f>
        <x:v>20.543200000000002</x:v>
      </x:c>
      <x:c r="F52" s="20" t="n">
        <x:f>IFERROR(E52/C52,0)</x:f>
        <x:v>0.4001721991822487</x:v>
      </x:c>
      <x:c r="G52" s="23" t="n">
        <x:v>804</x:v>
      </x:c>
      <x:c r="H52" s="23" t="n">
        <x:v>9</x:v>
      </x:c>
      <x:c r="I52" s="23"/>
      <x:c r="J52" s="20"/>
      <x:c r="K52" s="26" t="n">
        <x:v>1</x:v>
      </x:c>
      <x:c r="L52" s="26" t="n">
        <x:v>1</x:v>
      </x:c>
      <x:c r="M52" s="14" t="str">
        <x:f>IF(AND(K52=1,L52=1),"both_correct",IF(K52=1,"vanilla_only",IF(L52=1,"candidate_only","both_wrong")))</x:f>
        <x:v>both_correct</x:v>
      </x:c>
      <x:c r="N52" s="26" t="n">
        <x:v>0</x:v>
      </x:c>
      <x:c r="O52" s="26" t="n">
        <x:v>0</x:v>
      </x:c>
    </x:row>
    <x:row r="53" ht="21" customHeight="1">
      <x:c r="A53" s="14" t="str">
        <x:v>投诉分类中文</x:v>
      </x:c>
      <x:c r="B53" s="14" t="str">
        <x:v>MAECOM00043</x:v>
      </x:c>
      <x:c r="C53" s="17" t="n">
        <x:v>47.9336</x:v>
      </x:c>
      <x:c r="D53" s="17" t="n">
        <x:v>28.7676</x:v>
      </x:c>
      <x:c r="E53" s="17" t="n">
        <x:f>C53-D53</x:f>
        <x:v>19.165999999999997</x:v>
      </x:c>
      <x:c r="F53" s="20" t="n">
        <x:f>IFERROR(E53/C53,0)</x:f>
        <x:v>0.3998447852863127</x:v>
      </x:c>
      <x:c r="G53" s="23" t="n">
        <x:v>795</x:v>
      </x:c>
      <x:c r="H53" s="23" t="n">
        <x:v>9</x:v>
      </x:c>
      <x:c r="I53" s="23"/>
      <x:c r="J53" s="20"/>
      <x:c r="K53" s="26" t="n">
        <x:v>1</x:v>
      </x:c>
      <x:c r="L53" s="26" t="n">
        <x:v>1</x:v>
      </x:c>
      <x:c r="M53" s="14" t="str">
        <x:f>IF(AND(K53=1,L53=1),"both_correct",IF(K53=1,"vanilla_only",IF(L53=1,"candidate_only","both_wrong")))</x:f>
        <x:v>both_correct</x:v>
      </x:c>
      <x:c r="N53" s="26" t="n">
        <x:v>0</x:v>
      </x:c>
      <x:c r="O53" s="26" t="n">
        <x:v>0</x:v>
      </x:c>
    </x:row>
    <x:row r="54" ht="21" customHeight="1">
      <x:c r="A54" s="14" t="str">
        <x:v>投诉分类中文</x:v>
      </x:c>
      <x:c r="B54" s="14" t="str">
        <x:v>MAECOM00044</x:v>
      </x:c>
      <x:c r="C54" s="17" t="n">
        <x:v>55.3551</x:v>
      </x:c>
      <x:c r="D54" s="17" t="n">
        <x:v>30.0582</x:v>
      </x:c>
      <x:c r="E54" s="17" t="n">
        <x:f>C54-D54</x:f>
        <x:v>25.2969</x:v>
      </x:c>
      <x:c r="F54" s="20" t="n">
        <x:f>IFERROR(E54/C54,0)</x:f>
        <x:v>0.45699312258491087</x:v>
      </x:c>
      <x:c r="G54" s="23" t="n">
        <x:v>933</x:v>
      </x:c>
      <x:c r="H54" s="23" t="n">
        <x:v>9</x:v>
      </x:c>
      <x:c r="I54" s="23"/>
      <x:c r="J54" s="20"/>
      <x:c r="K54" s="26" t="n">
        <x:v>1</x:v>
      </x:c>
      <x:c r="L54" s="26" t="n">
        <x:v>1</x:v>
      </x:c>
      <x:c r="M54" s="14" t="str">
        <x:f>IF(AND(K54=1,L54=1),"both_correct",IF(K54=1,"vanilla_only",IF(L54=1,"candidate_only","both_wrong")))</x:f>
        <x:v>both_correct</x:v>
      </x:c>
      <x:c r="N54" s="26" t="n">
        <x:v>0</x:v>
      </x:c>
      <x:c r="O54" s="26" t="n">
        <x:v>0</x:v>
      </x:c>
    </x:row>
    <x:row r="55" ht="21" customHeight="1">
      <x:c r="A55" s="14" t="str">
        <x:v>投诉分类中文</x:v>
      </x:c>
      <x:c r="B55" s="14" t="str">
        <x:v>MAECOM00045</x:v>
      </x:c>
      <x:c r="C55" s="17" t="n">
        <x:v>49.9462</x:v>
      </x:c>
      <x:c r="D55" s="17" t="n">
        <x:v>30.9628</x:v>
      </x:c>
      <x:c r="E55" s="17" t="n">
        <x:f>C55-D55</x:f>
        <x:v>18.983399999999996</x:v>
      </x:c>
      <x:c r="F55" s="20" t="n">
        <x:f>IFERROR(E55/C55,0)</x:f>
        <x:v>0.38007696281198566</x:v>
      </x:c>
      <x:c r="G55" s="23" t="n">
        <x:v>826</x:v>
      </x:c>
      <x:c r="H55" s="23" t="n">
        <x:v>9</x:v>
      </x:c>
      <x:c r="I55" s="23"/>
      <x:c r="J55" s="20"/>
      <x:c r="K55" s="26" t="n">
        <x:v>1</x:v>
      </x:c>
      <x:c r="L55" s="26" t="n">
        <x:v>1</x:v>
      </x:c>
      <x:c r="M55" s="14" t="str">
        <x:f>IF(AND(K55=1,L55=1),"both_correct",IF(K55=1,"vanilla_only",IF(L55=1,"candidate_only","both_wrong")))</x:f>
        <x:v>both_correct</x:v>
      </x:c>
      <x:c r="N55" s="26" t="n">
        <x:v>0</x:v>
      </x:c>
      <x:c r="O55" s="26" t="n">
        <x:v>0</x:v>
      </x:c>
    </x:row>
    <x:row r="56" ht="21" customHeight="1">
      <x:c r="A56" s="14" t="str">
        <x:v>投诉分类中文</x:v>
      </x:c>
      <x:c r="B56" s="14" t="str">
        <x:v>MAECOM00046</x:v>
      </x:c>
      <x:c r="C56" s="17" t="n">
        <x:v>53.113</x:v>
      </x:c>
      <x:c r="D56" s="17" t="n">
        <x:v>47.1159</x:v>
      </x:c>
      <x:c r="E56" s="17" t="n">
        <x:f>C56-D56</x:f>
        <x:v>5.997099999999996</x:v>
      </x:c>
      <x:c r="F56" s="20" t="n">
        <x:f>IFERROR(E56/C56,0)</x:f>
        <x:v>0.11291209308455549</x:v>
      </x:c>
      <x:c r="G56" s="23" t="n">
        <x:v>871</x:v>
      </x:c>
      <x:c r="H56" s="23" t="n">
        <x:v>291</x:v>
      </x:c>
      <x:c r="I56" s="23"/>
      <x:c r="J56" s="20"/>
      <x:c r="K56" s="26" t="n">
        <x:v>1</x:v>
      </x:c>
      <x:c r="L56" s="26" t="n">
        <x:v>1</x:v>
      </x:c>
      <x:c r="M56" s="14" t="str">
        <x:f>IF(AND(K56=1,L56=1),"both_correct",IF(K56=1,"vanilla_only",IF(L56=1,"candidate_only","both_wrong")))</x:f>
        <x:v>both_correct</x:v>
      </x:c>
      <x:c r="N56" s="26" t="n">
        <x:v>0</x:v>
      </x:c>
      <x:c r="O56" s="26" t="n">
        <x:v>0</x:v>
      </x:c>
    </x:row>
    <x:row r="57" ht="21" customHeight="1">
      <x:c r="A57" s="14" t="str">
        <x:v>投诉分类中文</x:v>
      </x:c>
      <x:c r="B57" s="14" t="str">
        <x:v>MAECOM00047</x:v>
      </x:c>
      <x:c r="C57" s="17" t="n">
        <x:v>50.3061</x:v>
      </x:c>
      <x:c r="D57" s="17" t="n">
        <x:v>31.4967</x:v>
      </x:c>
      <x:c r="E57" s="17" t="n">
        <x:f>C57-D57</x:f>
        <x:v>18.8094</x:v>
      </x:c>
      <x:c r="F57" s="20" t="n">
        <x:f>IFERROR(E57/C57,0)</x:f>
        <x:v>0.3738989903808882</x:v>
      </x:c>
      <x:c r="G57" s="23" t="n">
        <x:v>862</x:v>
      </x:c>
      <x:c r="H57" s="23" t="n">
        <x:v>9</x:v>
      </x:c>
      <x:c r="I57" s="23"/>
      <x:c r="J57" s="20"/>
      <x:c r="K57" s="26" t="n">
        <x:v>1</x:v>
      </x:c>
      <x:c r="L57" s="26" t="n">
        <x:v>1</x:v>
      </x:c>
      <x:c r="M57" s="14" t="str">
        <x:f>IF(AND(K57=1,L57=1),"both_correct",IF(K57=1,"vanilla_only",IF(L57=1,"candidate_only","both_wrong")))</x:f>
        <x:v>both_correct</x:v>
      </x:c>
      <x:c r="N57" s="26" t="n">
        <x:v>0</x:v>
      </x:c>
      <x:c r="O57" s="26" t="n">
        <x:v>0</x:v>
      </x:c>
    </x:row>
    <x:row r="58" ht="21" customHeight="1">
      <x:c r="A58" s="14" t="str">
        <x:v>投诉分类中文</x:v>
      </x:c>
      <x:c r="B58" s="14" t="str">
        <x:v>MAECOM00048</x:v>
      </x:c>
      <x:c r="C58" s="17" t="n">
        <x:v>57.877</x:v>
      </x:c>
      <x:c r="D58" s="17" t="n">
        <x:v>44.3975</x:v>
      </x:c>
      <x:c r="E58" s="17" t="n">
        <x:f>C58-D58</x:f>
        <x:v>13.479500000000002</x:v>
      </x:c>
      <x:c r="F58" s="20" t="n">
        <x:f>IFERROR(E58/C58,0)</x:f>
        <x:v>0.23289907908150045</x:v>
      </x:c>
      <x:c r="G58" s="23" t="n">
        <x:v>972</x:v>
      </x:c>
      <x:c r="H58" s="23" t="n">
        <x:v>9</x:v>
      </x:c>
      <x:c r="I58" s="23"/>
      <x:c r="J58" s="20"/>
      <x:c r="K58" s="26" t="n">
        <x:v>1</x:v>
      </x:c>
      <x:c r="L58" s="26" t="n">
        <x:v>1</x:v>
      </x:c>
      <x:c r="M58" s="14" t="str">
        <x:f>IF(AND(K58=1,L58=1),"both_correct",IF(K58=1,"vanilla_only",IF(L58=1,"candidate_only","both_wrong")))</x:f>
        <x:v>both_correct</x:v>
      </x:c>
      <x:c r="N58" s="26" t="n">
        <x:v>0</x:v>
      </x:c>
      <x:c r="O58" s="26" t="n">
        <x:v>0</x:v>
      </x:c>
    </x:row>
    <x:row r="59" ht="21" customHeight="1">
      <x:c r="A59" s="14" t="str">
        <x:v>投诉分类中文</x:v>
      </x:c>
      <x:c r="B59" s="14" t="str">
        <x:v>MAECOM00049</x:v>
      </x:c>
      <x:c r="C59" s="17" t="n">
        <x:v>67.3872</x:v>
      </x:c>
      <x:c r="D59" s="17" t="n">
        <x:v>33.4571</x:v>
      </x:c>
      <x:c r="E59" s="17" t="n">
        <x:f>C59-D59</x:f>
        <x:v>33.93010000000001</x:v>
      </x:c>
      <x:c r="F59" s="20" t="n">
        <x:f>IFERROR(E59/C59,0)</x:f>
        <x:v>0.5035095685827576</x:v>
      </x:c>
      <x:c r="G59" s="23" t="n">
        <x:v>1009</x:v>
      </x:c>
      <x:c r="H59" s="23" t="n">
        <x:v>10</x:v>
      </x:c>
      <x:c r="I59" s="23"/>
      <x:c r="J59" s="20"/>
      <x:c r="K59" s="26" t="n">
        <x:v>0</x:v>
      </x:c>
      <x:c r="L59" s="26" t="n">
        <x:v>1</x:v>
      </x:c>
      <x:c r="M59" s="14" t="str">
        <x:f>IF(AND(K59=1,L59=1),"both_correct",IF(K59=1,"vanilla_only",IF(L59=1,"candidate_only","both_wrong")))</x:f>
        <x:v>candidate_only</x:v>
      </x:c>
      <x:c r="N59" s="26" t="n">
        <x:v>0</x:v>
      </x:c>
      <x:c r="O59" s="26" t="n">
        <x:v>0</x:v>
      </x:c>
    </x:row>
    <x:row r="60" ht="21" customHeight="1">
      <x:c r="A60" s="14" t="str">
        <x:v>投诉分类中文</x:v>
      </x:c>
      <x:c r="B60" s="14" t="str">
        <x:v>MAECOM00050</x:v>
      </x:c>
      <x:c r="C60" s="17" t="n">
        <x:v>54.5973</x:v>
      </x:c>
      <x:c r="D60" s="17" t="n">
        <x:v>31.5703</x:v>
      </x:c>
      <x:c r="E60" s="17" t="n">
        <x:f>C60-D60</x:f>
        <x:v>23.026999999999997</x:v>
      </x:c>
      <x:c r="F60" s="20" t="n">
        <x:f>IFERROR(E60/C60,0)</x:f>
        <x:v>0.42176078304238485</x:v>
      </x:c>
      <x:c r="G60" s="23" t="n">
        <x:v>903</x:v>
      </x:c>
      <x:c r="H60" s="23" t="n">
        <x:v>9</x:v>
      </x:c>
      <x:c r="I60" s="23"/>
      <x:c r="J60" s="20"/>
      <x:c r="K60" s="26" t="n">
        <x:v>1</x:v>
      </x:c>
      <x:c r="L60" s="26" t="n">
        <x:v>1</x:v>
      </x:c>
      <x:c r="M60" s="14" t="str">
        <x:f>IF(AND(K60=1,L60=1),"both_correct",IF(K60=1,"vanilla_only",IF(L60=1,"candidate_only","both_wrong")))</x:f>
        <x:v>both_correct</x:v>
      </x:c>
      <x:c r="N60" s="26" t="n">
        <x:v>0</x:v>
      </x:c>
      <x:c r="O60" s="26" t="n">
        <x:v>0</x:v>
      </x:c>
    </x:row>
    <x:row r="61" ht="21" customHeight="1">
      <x:c r="A61" s="14" t="str">
        <x:v>投诉分类中文</x:v>
      </x:c>
      <x:c r="B61" s="14" t="str">
        <x:v>MAECOM00051</x:v>
      </x:c>
      <x:c r="C61" s="17" t="n">
        <x:v>36.0711</x:v>
      </x:c>
      <x:c r="D61" s="17" t="n">
        <x:v>29.7089</x:v>
      </x:c>
      <x:c r="E61" s="17" t="n">
        <x:f>C61-D61</x:f>
        <x:v>6.362200000000001</x:v>
      </x:c>
      <x:c r="F61" s="20" t="n">
        <x:f>IFERROR(E61/C61,0)</x:f>
        <x:v>0.17637942840667462</x:v>
      </x:c>
      <x:c r="G61" s="23" t="n">
        <x:v>560</x:v>
      </x:c>
      <x:c r="H61" s="23" t="n">
        <x:v>9</x:v>
      </x:c>
      <x:c r="I61" s="23"/>
      <x:c r="J61" s="20"/>
      <x:c r="K61" s="26" t="n">
        <x:v>1</x:v>
      </x:c>
      <x:c r="L61" s="26" t="n">
        <x:v>1</x:v>
      </x:c>
      <x:c r="M61" s="14" t="str">
        <x:f>IF(AND(K61=1,L61=1),"both_correct",IF(K61=1,"vanilla_only",IF(L61=1,"candidate_only","both_wrong")))</x:f>
        <x:v>both_correct</x:v>
      </x:c>
      <x:c r="N61" s="26" t="n">
        <x:v>0</x:v>
      </x:c>
      <x:c r="O61" s="26" t="n">
        <x:v>0</x:v>
      </x:c>
    </x:row>
    <x:row r="62" ht="21" customHeight="1">
      <x:c r="A62" s="14" t="str">
        <x:v>投诉分类中文</x:v>
      </x:c>
      <x:c r="B62" s="14" t="str">
        <x:v>MAECOM00052</x:v>
      </x:c>
      <x:c r="C62" s="17" t="n">
        <x:v>55.8612</x:v>
      </x:c>
      <x:c r="D62" s="17" t="n">
        <x:v>28.8881</x:v>
      </x:c>
      <x:c r="E62" s="17" t="n">
        <x:f>C62-D62</x:f>
        <x:v>26.973099999999995</x:v>
      </x:c>
      <x:c r="F62" s="20" t="n">
        <x:f>IFERROR(E62/C62,0)</x:f>
        <x:v>0.48285930126814314</x:v>
      </x:c>
      <x:c r="G62" s="23" t="n">
        <x:v>918</x:v>
      </x:c>
      <x:c r="H62" s="23" t="n">
        <x:v>9</x:v>
      </x:c>
      <x:c r="I62" s="23"/>
      <x:c r="J62" s="20"/>
      <x:c r="K62" s="26" t="n">
        <x:v>1</x:v>
      </x:c>
      <x:c r="L62" s="26" t="n">
        <x:v>1</x:v>
      </x:c>
      <x:c r="M62" s="14" t="str">
        <x:f>IF(AND(K62=1,L62=1),"both_correct",IF(K62=1,"vanilla_only",IF(L62=1,"candidate_only","both_wrong")))</x:f>
        <x:v>both_correct</x:v>
      </x:c>
      <x:c r="N62" s="26" t="n">
        <x:v>0</x:v>
      </x:c>
      <x:c r="O62" s="26" t="n">
        <x:v>0</x:v>
      </x:c>
    </x:row>
    <x:row r="63" ht="21" customHeight="1">
      <x:c r="A63" s="14" t="str">
        <x:v>投诉分类中文</x:v>
      </x:c>
      <x:c r="B63" s="14" t="str">
        <x:v>MAECOM00053</x:v>
      </x:c>
      <x:c r="C63" s="17" t="n">
        <x:v>138.4072</x:v>
      </x:c>
      <x:c r="D63" s="17" t="n">
        <x:v>45.9922</x:v>
      </x:c>
      <x:c r="E63" s="17" t="n">
        <x:f>C63-D63</x:f>
        <x:v>92.41499999999999</x:v>
      </x:c>
      <x:c r="F63" s="20" t="n">
        <x:f>IFERROR(E63/C63,0)</x:f>
        <x:v>0.6677037032755522</x:v>
      </x:c>
      <x:c r="G63" s="23" t="n">
        <x:v>2011</x:v>
      </x:c>
      <x:c r="H63" s="23" t="n">
        <x:v>9</x:v>
      </x:c>
      <x:c r="I63" s="23"/>
      <x:c r="J63" s="20"/>
      <x:c r="K63" s="26" t="n">
        <x:v>0</x:v>
      </x:c>
      <x:c r="L63" s="26" t="n">
        <x:v>1</x:v>
      </x:c>
      <x:c r="M63" s="14" t="str">
        <x:f>IF(AND(K63=1,L63=1),"both_correct",IF(K63=1,"vanilla_only",IF(L63=1,"candidate_only","both_wrong")))</x:f>
        <x:v>candidate_only</x:v>
      </x:c>
      <x:c r="N63" s="26" t="n">
        <x:v>0</x:v>
      </x:c>
      <x:c r="O63" s="26" t="n">
        <x:v>0</x:v>
      </x:c>
    </x:row>
    <x:row r="64" ht="21" customHeight="1">
      <x:c r="A64" s="14" t="str">
        <x:v>投诉分类中文</x:v>
      </x:c>
      <x:c r="B64" s="14" t="str">
        <x:v>MAECOM00054</x:v>
      </x:c>
      <x:c r="C64" s="17" t="n">
        <x:v>54.3468</x:v>
      </x:c>
      <x:c r="D64" s="17" t="n">
        <x:v>29.1525</x:v>
      </x:c>
      <x:c r="E64" s="17" t="n">
        <x:f>C64-D64</x:f>
        <x:v>25.194300000000002</x:v>
      </x:c>
      <x:c r="F64" s="20" t="n">
        <x:f>IFERROR(E64/C64,0)</x:f>
        <x:v>0.4635838724635121</x:v>
      </x:c>
      <x:c r="G64" s="23" t="n">
        <x:v>839</x:v>
      </x:c>
      <x:c r="H64" s="23" t="n">
        <x:v>9</x:v>
      </x:c>
      <x:c r="I64" s="23"/>
      <x:c r="J64" s="20"/>
      <x:c r="K64" s="26" t="n">
        <x:v>1</x:v>
      </x:c>
      <x:c r="L64" s="26" t="n">
        <x:v>1</x:v>
      </x:c>
      <x:c r="M64" s="14" t="str">
        <x:f>IF(AND(K64=1,L64=1),"both_correct",IF(K64=1,"vanilla_only",IF(L64=1,"candidate_only","both_wrong")))</x:f>
        <x:v>both_correct</x:v>
      </x:c>
      <x:c r="N64" s="26" t="n">
        <x:v>0</x:v>
      </x:c>
      <x:c r="O64" s="26" t="n">
        <x:v>0</x:v>
      </x:c>
    </x:row>
    <x:row r="65" ht="21" customHeight="1">
      <x:c r="A65" s="14" t="str">
        <x:v>投诉分类中文</x:v>
      </x:c>
      <x:c r="B65" s="14" t="str">
        <x:v>MAECOM00055</x:v>
      </x:c>
      <x:c r="C65" s="17" t="n">
        <x:v>57.7443</x:v>
      </x:c>
      <x:c r="D65" s="17" t="n">
        <x:v>44.7764</x:v>
      </x:c>
      <x:c r="E65" s="17" t="n">
        <x:f>C65-D65</x:f>
        <x:v>12.9679</x:v>
      </x:c>
      <x:c r="F65" s="20" t="n">
        <x:f>IFERROR(E65/C65,0)</x:f>
        <x:v>0.2245745467518006</x:v>
      </x:c>
      <x:c r="G65" s="23" t="n">
        <x:v>916</x:v>
      </x:c>
      <x:c r="H65" s="23" t="n">
        <x:v>9</x:v>
      </x:c>
      <x:c r="I65" s="23"/>
      <x:c r="J65" s="20"/>
      <x:c r="K65" s="26" t="n">
        <x:v>1</x:v>
      </x:c>
      <x:c r="L65" s="26" t="n">
        <x:v>1</x:v>
      </x:c>
      <x:c r="M65" s="14" t="str">
        <x:f>IF(AND(K65=1,L65=1),"both_correct",IF(K65=1,"vanilla_only",IF(L65=1,"candidate_only","both_wrong")))</x:f>
        <x:v>both_correct</x:v>
      </x:c>
      <x:c r="N65" s="26" t="n">
        <x:v>0</x:v>
      </x:c>
      <x:c r="O65" s="26" t="n">
        <x:v>0</x:v>
      </x:c>
    </x:row>
    <x:row r="66" ht="21" customHeight="1">
      <x:c r="A66" s="14" t="str">
        <x:v>投诉分类中文</x:v>
      </x:c>
      <x:c r="B66" s="14" t="str">
        <x:v>MAECOM00056</x:v>
      </x:c>
      <x:c r="C66" s="17" t="n">
        <x:v>51.4732</x:v>
      </x:c>
      <x:c r="D66" s="17" t="n">
        <x:v>33.2999</x:v>
      </x:c>
      <x:c r="E66" s="17" t="n">
        <x:f>C66-D66</x:f>
        <x:v>18.173299999999998</x:v>
      </x:c>
      <x:c r="F66" s="20" t="n">
        <x:f>IFERROR(E66/C66,0)</x:f>
        <x:v>0.35306334170014686</x:v>
      </x:c>
      <x:c r="G66" s="23" t="n">
        <x:v>823</x:v>
      </x:c>
      <x:c r="H66" s="23" t="n">
        <x:v>9</x:v>
      </x:c>
      <x:c r="I66" s="23"/>
      <x:c r="J66" s="20"/>
      <x:c r="K66" s="26" t="n">
        <x:v>1</x:v>
      </x:c>
      <x:c r="L66" s="26" t="n">
        <x:v>1</x:v>
      </x:c>
      <x:c r="M66" s="14" t="str">
        <x:f>IF(AND(K66=1,L66=1),"both_correct",IF(K66=1,"vanilla_only",IF(L66=1,"candidate_only","both_wrong")))</x:f>
        <x:v>both_correct</x:v>
      </x:c>
      <x:c r="N66" s="26" t="n">
        <x:v>0</x:v>
      </x:c>
      <x:c r="O66" s="26" t="n">
        <x:v>0</x:v>
      </x:c>
    </x:row>
    <x:row r="67" ht="21" customHeight="1">
      <x:c r="A67" s="14" t="str">
        <x:v>投诉分类中文</x:v>
      </x:c>
      <x:c r="B67" s="14" t="str">
        <x:v>MAECOM00057</x:v>
      </x:c>
      <x:c r="C67" s="17" t="n">
        <x:v>68.1199</x:v>
      </x:c>
      <x:c r="D67" s="17" t="n">
        <x:v>31.6906</x:v>
      </x:c>
      <x:c r="E67" s="17" t="n">
        <x:f>C67-D67</x:f>
        <x:v>36.4293</x:v>
      </x:c>
      <x:c r="F67" s="20" t="n">
        <x:f>IFERROR(E67/C67,0)</x:f>
        <x:v>0.5347820534087689</x:v>
      </x:c>
      <x:c r="G67" s="23" t="n">
        <x:v>1019</x:v>
      </x:c>
      <x:c r="H67" s="23" t="n">
        <x:v>10</x:v>
      </x:c>
      <x:c r="I67" s="23"/>
      <x:c r="J67" s="20"/>
      <x:c r="K67" s="26" t="n">
        <x:v>1</x:v>
      </x:c>
      <x:c r="L67" s="26" t="n">
        <x:v>1</x:v>
      </x:c>
      <x:c r="M67" s="14" t="str">
        <x:f>IF(AND(K67=1,L67=1),"both_correct",IF(K67=1,"vanilla_only",IF(L67=1,"candidate_only","both_wrong")))</x:f>
        <x:v>both_correct</x:v>
      </x:c>
      <x:c r="N67" s="26" t="n">
        <x:v>0</x:v>
      </x:c>
      <x:c r="O67" s="26" t="n">
        <x:v>0</x:v>
      </x:c>
    </x:row>
    <x:row r="68" ht="21" customHeight="1">
      <x:c r="A68" s="14" t="str">
        <x:v>投诉分类中文</x:v>
      </x:c>
      <x:c r="B68" s="14" t="str">
        <x:v>MAECOM00058</x:v>
      </x:c>
      <x:c r="C68" s="17" t="n">
        <x:v>55.0046</x:v>
      </x:c>
      <x:c r="D68" s="17" t="n">
        <x:v>31.4704</x:v>
      </x:c>
      <x:c r="E68" s="17" t="n">
        <x:f>C68-D68</x:f>
        <x:v>23.534200000000002</x:v>
      </x:c>
      <x:c r="F68" s="20" t="n">
        <x:f>IFERROR(E68/C68,0)</x:f>
        <x:v>0.4278587609036335</x:v>
      </x:c>
      <x:c r="G68" s="23" t="n">
        <x:v>859</x:v>
      </x:c>
      <x:c r="H68" s="23" t="n">
        <x:v>10</x:v>
      </x:c>
      <x:c r="I68" s="23"/>
      <x:c r="J68" s="20"/>
      <x:c r="K68" s="26" t="n">
        <x:v>1</x:v>
      </x:c>
      <x:c r="L68" s="26" t="n">
        <x:v>1</x:v>
      </x:c>
      <x:c r="M68" s="14" t="str">
        <x:f>IF(AND(K68=1,L68=1),"both_correct",IF(K68=1,"vanilla_only",IF(L68=1,"candidate_only","both_wrong")))</x:f>
        <x:v>both_correct</x:v>
      </x:c>
      <x:c r="N68" s="26" t="n">
        <x:v>0</x:v>
      </x:c>
      <x:c r="O68" s="26" t="n">
        <x:v>0</x:v>
      </x:c>
    </x:row>
    <x:row r="69" ht="21" customHeight="1">
      <x:c r="A69" s="14" t="str">
        <x:v>投诉分类中文</x:v>
      </x:c>
      <x:c r="B69" s="14" t="str">
        <x:v>MAECOM00059</x:v>
      </x:c>
      <x:c r="C69" s="17" t="n">
        <x:v>67.8778</x:v>
      </x:c>
      <x:c r="D69" s="17" t="n">
        <x:v>30.9902</x:v>
      </x:c>
      <x:c r="E69" s="17" t="n">
        <x:f>C69-D69</x:f>
        <x:v>36.88759999999999</x:v>
      </x:c>
      <x:c r="F69" s="20" t="n">
        <x:f>IFERROR(E69/C69,0)</x:f>
        <x:v>0.5434413018689468</x:v>
      </x:c>
      <x:c r="G69" s="23" t="n">
        <x:v>1084</x:v>
      </x:c>
      <x:c r="H69" s="23" t="n">
        <x:v>10</x:v>
      </x:c>
      <x:c r="I69" s="23"/>
      <x:c r="J69" s="20"/>
      <x:c r="K69" s="26" t="n">
        <x:v>1</x:v>
      </x:c>
      <x:c r="L69" s="26" t="n">
        <x:v>1</x:v>
      </x:c>
      <x:c r="M69" s="14" t="str">
        <x:f>IF(AND(K69=1,L69=1),"both_correct",IF(K69=1,"vanilla_only",IF(L69=1,"candidate_only","both_wrong")))</x:f>
        <x:v>both_correct</x:v>
      </x:c>
      <x:c r="N69" s="26" t="n">
        <x:v>0</x:v>
      </x:c>
      <x:c r="O69" s="26" t="n">
        <x:v>0</x:v>
      </x:c>
    </x:row>
    <x:row r="70" ht="21" customHeight="1">
      <x:c r="A70" s="14" t="str">
        <x:v>投诉分类中文</x:v>
      </x:c>
      <x:c r="B70" s="14" t="str">
        <x:v>MAECOM00060</x:v>
      </x:c>
      <x:c r="C70" s="17" t="n">
        <x:v>64.7851</x:v>
      </x:c>
      <x:c r="D70" s="17" t="n">
        <x:v>33.6667</x:v>
      </x:c>
      <x:c r="E70" s="17" t="n">
        <x:f>C70-D70</x:f>
        <x:v>31.1184</x:v>
      </x:c>
      <x:c r="F70" s="20" t="n">
        <x:f>IFERROR(E70/C70,0)</x:f>
        <x:v>0.48033266908594724</x:v>
      </x:c>
      <x:c r="G70" s="23" t="n">
        <x:v>1067</x:v>
      </x:c>
      <x:c r="H70" s="23" t="n">
        <x:v>10</x:v>
      </x:c>
      <x:c r="I70" s="23"/>
      <x:c r="J70" s="20"/>
      <x:c r="K70" s="26" t="n">
        <x:v>1</x:v>
      </x:c>
      <x:c r="L70" s="26" t="n">
        <x:v>1</x:v>
      </x:c>
      <x:c r="M70" s="14" t="str">
        <x:f>IF(AND(K70=1,L70=1),"both_correct",IF(K70=1,"vanilla_only",IF(L70=1,"candidate_only","both_wrong")))</x:f>
        <x:v>both_correct</x:v>
      </x:c>
      <x:c r="N70" s="26" t="n">
        <x:v>0</x:v>
      </x:c>
      <x:c r="O70" s="26" t="n">
        <x:v>0</x:v>
      </x:c>
    </x:row>
    <x:row r="71" ht="21" customHeight="1">
      <x:c r="A71" s="14" t="str">
        <x:v>投诉分类中文</x:v>
      </x:c>
      <x:c r="B71" s="14" t="str">
        <x:v>MAECOM00061</x:v>
      </x:c>
      <x:c r="C71" s="17" t="n">
        <x:v>53.7217</x:v>
      </x:c>
      <x:c r="D71" s="17" t="n">
        <x:v>31.7863</x:v>
      </x:c>
      <x:c r="E71" s="17" t="n">
        <x:f>C71-D71</x:f>
        <x:v>21.935399999999998</x:v>
      </x:c>
      <x:c r="F71" s="20" t="n">
        <x:f>IFERROR(E71/C71,0)</x:f>
        <x:v>0.40831544794747743</x:v>
      </x:c>
      <x:c r="G71" s="23" t="n">
        <x:v>904</x:v>
      </x:c>
      <x:c r="H71" s="23" t="n">
        <x:v>10</x:v>
      </x:c>
      <x:c r="I71" s="23"/>
      <x:c r="J71" s="20"/>
      <x:c r="K71" s="26" t="n">
        <x:v>1</x:v>
      </x:c>
      <x:c r="L71" s="26" t="n">
        <x:v>1</x:v>
      </x:c>
      <x:c r="M71" s="14" t="str">
        <x:f>IF(AND(K71=1,L71=1),"both_correct",IF(K71=1,"vanilla_only",IF(L71=1,"candidate_only","both_wrong")))</x:f>
        <x:v>both_correct</x:v>
      </x:c>
      <x:c r="N71" s="26" t="n">
        <x:v>0</x:v>
      </x:c>
      <x:c r="O71" s="26" t="n">
        <x:v>0</x:v>
      </x:c>
    </x:row>
    <x:row r="72" ht="21" customHeight="1">
      <x:c r="A72" s="14" t="str">
        <x:v>投诉分类中文</x:v>
      </x:c>
      <x:c r="B72" s="14" t="str">
        <x:v>MAECOM00062</x:v>
      </x:c>
      <x:c r="C72" s="17" t="n">
        <x:v>44.6937</x:v>
      </x:c>
      <x:c r="D72" s="17" t="n">
        <x:v>47.0481</x:v>
      </x:c>
      <x:c r="E72" s="17" t="n">
        <x:f>C72-D72</x:f>
        <x:v>-2.3543999999999983</x:v>
      </x:c>
      <x:c r="F72" s="20" t="n">
        <x:f>IFERROR(E72/C72,0)</x:f>
        <x:v>-0.052678565435396896</x:v>
      </x:c>
      <x:c r="G72" s="23" t="n">
        <x:v>720</x:v>
      </x:c>
      <x:c r="H72" s="23" t="n">
        <x:v>10</x:v>
      </x:c>
      <x:c r="I72" s="23"/>
      <x:c r="J72" s="20"/>
      <x:c r="K72" s="26" t="n">
        <x:v>1</x:v>
      </x:c>
      <x:c r="L72" s="26" t="n">
        <x:v>1</x:v>
      </x:c>
      <x:c r="M72" s="14" t="str">
        <x:f>IF(AND(K72=1,L72=1),"both_correct",IF(K72=1,"vanilla_only",IF(L72=1,"candidate_only","both_wrong")))</x:f>
        <x:v>both_correct</x:v>
      </x:c>
      <x:c r="N72" s="26" t="n">
        <x:v>0</x:v>
      </x:c>
      <x:c r="O72" s="26" t="n">
        <x:v>0</x:v>
      </x:c>
    </x:row>
    <x:row r="73" ht="21" customHeight="1">
      <x:c r="A73" s="14" t="str">
        <x:v>投诉分类中文</x:v>
      </x:c>
      <x:c r="B73" s="14" t="str">
        <x:v>MAECOM00063</x:v>
      </x:c>
      <x:c r="C73" s="17" t="n">
        <x:v>59.404</x:v>
      </x:c>
      <x:c r="D73" s="17" t="n">
        <x:v>29.7791</x:v>
      </x:c>
      <x:c r="E73" s="17" t="n">
        <x:f>C73-D73</x:f>
        <x:v>29.624900000000004</x:v>
      </x:c>
      <x:c r="F73" s="20" t="n">
        <x:f>IFERROR(E73/C73,0)</x:f>
        <x:v>0.4987021076021817</x:v>
      </x:c>
      <x:c r="G73" s="23" t="n">
        <x:v>1010</x:v>
      </x:c>
      <x:c r="H73" s="23" t="n">
        <x:v>10</x:v>
      </x:c>
      <x:c r="I73" s="23"/>
      <x:c r="J73" s="20"/>
      <x:c r="K73" s="26" t="n">
        <x:v>1</x:v>
      </x:c>
      <x:c r="L73" s="26" t="n">
        <x:v>1</x:v>
      </x:c>
      <x:c r="M73" s="14" t="str">
        <x:f>IF(AND(K73=1,L73=1),"both_correct",IF(K73=1,"vanilla_only",IF(L73=1,"candidate_only","both_wrong")))</x:f>
        <x:v>both_correct</x:v>
      </x:c>
      <x:c r="N73" s="26" t="n">
        <x:v>0</x:v>
      </x:c>
      <x:c r="O73" s="26" t="n">
        <x:v>0</x:v>
      </x:c>
    </x:row>
    <x:row r="74" ht="21" customHeight="1">
      <x:c r="A74" s="14" t="str">
        <x:v>投诉分类中文</x:v>
      </x:c>
      <x:c r="B74" s="14" t="str">
        <x:v>MAECOM00064</x:v>
      </x:c>
      <x:c r="C74" s="17" t="n">
        <x:v>49.6152</x:v>
      </x:c>
      <x:c r="D74" s="17" t="n">
        <x:v>28.0404</x:v>
      </x:c>
      <x:c r="E74" s="17" t="n">
        <x:f>C74-D74</x:f>
        <x:v>21.5748</x:v>
      </x:c>
      <x:c r="F74" s="20" t="n">
        <x:f>IFERROR(E74/C74,0)</x:f>
        <x:v>0.43484254825134233</x:v>
      </x:c>
      <x:c r="G74" s="23" t="n">
        <x:v>826</x:v>
      </x:c>
      <x:c r="H74" s="23" t="n">
        <x:v>10</x:v>
      </x:c>
      <x:c r="I74" s="23"/>
      <x:c r="J74" s="20"/>
      <x:c r="K74" s="26" t="n">
        <x:v>1</x:v>
      </x:c>
      <x:c r="L74" s="26" t="n">
        <x:v>1</x:v>
      </x:c>
      <x:c r="M74" s="14" t="str">
        <x:f>IF(AND(K74=1,L74=1),"both_correct",IF(K74=1,"vanilla_only",IF(L74=1,"candidate_only","both_wrong")))</x:f>
        <x:v>both_correct</x:v>
      </x:c>
      <x:c r="N74" s="26" t="n">
        <x:v>0</x:v>
      </x:c>
      <x:c r="O74" s="26" t="n">
        <x:v>0</x:v>
      </x:c>
    </x:row>
    <x:row r="75" ht="21" customHeight="1">
      <x:c r="A75" s="14" t="str">
        <x:v>投诉分类中文</x:v>
      </x:c>
      <x:c r="B75" s="14" t="str">
        <x:v>MAECOM00065</x:v>
      </x:c>
      <x:c r="C75" s="17" t="n">
        <x:v>59.1805</x:v>
      </x:c>
      <x:c r="D75" s="17" t="n">
        <x:v>36.1128</x:v>
      </x:c>
      <x:c r="E75" s="17" t="n">
        <x:f>C75-D75</x:f>
        <x:v>23.067700000000002</x:v>
      </x:c>
      <x:c r="F75" s="20" t="n">
        <x:f>IFERROR(E75/C75,0)</x:f>
        <x:v>0.38978548677351493</x:v>
      </x:c>
      <x:c r="G75" s="23" t="n">
        <x:v>964</x:v>
      </x:c>
      <x:c r="H75" s="23" t="n">
        <x:v>9</x:v>
      </x:c>
      <x:c r="I75" s="23"/>
      <x:c r="J75" s="20"/>
      <x:c r="K75" s="26" t="n">
        <x:v>0</x:v>
      </x:c>
      <x:c r="L75" s="26" t="n">
        <x:v>0</x:v>
      </x:c>
      <x:c r="M75" s="14" t="str">
        <x:f>IF(AND(K75=1,L75=1),"both_correct",IF(K75=1,"vanilla_only",IF(L75=1,"candidate_only","both_wrong")))</x:f>
        <x:v>both_wrong</x:v>
      </x:c>
      <x:c r="N75" s="26" t="n">
        <x:v>0</x:v>
      </x:c>
      <x:c r="O75" s="26" t="n">
        <x:v>0</x:v>
      </x:c>
    </x:row>
    <x:row r="76" ht="21" customHeight="1">
      <x:c r="A76" s="14" t="str">
        <x:v>投诉分类中文</x:v>
      </x:c>
      <x:c r="B76" s="14" t="str">
        <x:v>MAECOM00066</x:v>
      </x:c>
      <x:c r="C76" s="17" t="n">
        <x:v>57.621</x:v>
      </x:c>
      <x:c r="D76" s="17" t="n">
        <x:v>44.9294</x:v>
      </x:c>
      <x:c r="E76" s="17" t="n">
        <x:f>C76-D76</x:f>
        <x:v>12.691600000000001</x:v>
      </x:c>
      <x:c r="F76" s="20" t="n">
        <x:f>IFERROR(E76/C76,0)</x:f>
        <x:v>0.2202599746620156</x:v>
      </x:c>
      <x:c r="G76" s="23" t="n">
        <x:v>923</x:v>
      </x:c>
      <x:c r="H76" s="23" t="n">
        <x:v>10</x:v>
      </x:c>
      <x:c r="I76" s="23"/>
      <x:c r="J76" s="20"/>
      <x:c r="K76" s="26" t="n">
        <x:v>1</x:v>
      </x:c>
      <x:c r="L76" s="26" t="n">
        <x:v>1</x:v>
      </x:c>
      <x:c r="M76" s="14" t="str">
        <x:f>IF(AND(K76=1,L76=1),"both_correct",IF(K76=1,"vanilla_only",IF(L76=1,"candidate_only","both_wrong")))</x:f>
        <x:v>both_correct</x:v>
      </x:c>
      <x:c r="N76" s="26" t="n">
        <x:v>0</x:v>
      </x:c>
      <x:c r="O76" s="26" t="n">
        <x:v>0</x:v>
      </x:c>
    </x:row>
    <x:row r="77" ht="21" customHeight="1">
      <x:c r="A77" s="14" t="str">
        <x:v>投诉分类中文</x:v>
      </x:c>
      <x:c r="B77" s="14" t="str">
        <x:v>MAECOM00067</x:v>
      </x:c>
      <x:c r="C77" s="17" t="n">
        <x:v>48.9305</x:v>
      </x:c>
      <x:c r="D77" s="17" t="n">
        <x:v>35.401</x:v>
      </x:c>
      <x:c r="E77" s="17" t="n">
        <x:f>C77-D77</x:f>
        <x:v>13.529499999999999</x:v>
      </x:c>
      <x:c r="F77" s="20" t="n">
        <x:f>IFERROR(E77/C77,0)</x:f>
        <x:v>0.27650442975240386</x:v>
      </x:c>
      <x:c r="G77" s="23" t="n">
        <x:v>797</x:v>
      </x:c>
      <x:c r="H77" s="23" t="n">
        <x:v>59</x:v>
      </x:c>
      <x:c r="I77" s="23"/>
      <x:c r="J77" s="20"/>
      <x:c r="K77" s="26" t="n">
        <x:v>1</x:v>
      </x:c>
      <x:c r="L77" s="26" t="n">
        <x:v>1</x:v>
      </x:c>
      <x:c r="M77" s="14" t="str">
        <x:f>IF(AND(K77=1,L77=1),"both_correct",IF(K77=1,"vanilla_only",IF(L77=1,"candidate_only","both_wrong")))</x:f>
        <x:v>both_correct</x:v>
      </x:c>
      <x:c r="N77" s="26" t="n">
        <x:v>0</x:v>
      </x:c>
      <x:c r="O77" s="26" t="n">
        <x:v>0</x:v>
      </x:c>
    </x:row>
    <x:row r="78" ht="21" customHeight="1">
      <x:c r="A78" s="14" t="str">
        <x:v>投诉分类中文</x:v>
      </x:c>
      <x:c r="B78" s="14" t="str">
        <x:v>MAECOM00068</x:v>
      </x:c>
      <x:c r="C78" s="17" t="n">
        <x:v>53.247</x:v>
      </x:c>
      <x:c r="D78" s="17" t="n">
        <x:v>27.5138</x:v>
      </x:c>
      <x:c r="E78" s="17" t="n">
        <x:f>C78-D78</x:f>
        <x:v>25.7332</x:v>
      </x:c>
      <x:c r="F78" s="20" t="n">
        <x:f>IFERROR(E78/C78,0)</x:f>
        <x:v>0.4832798091911281</x:v>
      </x:c>
      <x:c r="G78" s="23" t="n">
        <x:v>873</x:v>
      </x:c>
      <x:c r="H78" s="23" t="n">
        <x:v>10</x:v>
      </x:c>
      <x:c r="I78" s="23"/>
      <x:c r="J78" s="20"/>
      <x:c r="K78" s="26" t="n">
        <x:v>1</x:v>
      </x:c>
      <x:c r="L78" s="26" t="n">
        <x:v>1</x:v>
      </x:c>
      <x:c r="M78" s="14" t="str">
        <x:f>IF(AND(K78=1,L78=1),"both_correct",IF(K78=1,"vanilla_only",IF(L78=1,"candidate_only","both_wrong")))</x:f>
        <x:v>both_correct</x:v>
      </x:c>
      <x:c r="N78" s="26" t="n">
        <x:v>0</x:v>
      </x:c>
      <x:c r="O78" s="26" t="n">
        <x:v>0</x:v>
      </x:c>
    </x:row>
    <x:row r="79" ht="21" customHeight="1">
      <x:c r="A79" s="14" t="str">
        <x:v>投诉分类中文</x:v>
      </x:c>
      <x:c r="B79" s="14" t="str">
        <x:v>MAECOM00069</x:v>
      </x:c>
      <x:c r="C79" s="17" t="n">
        <x:v>85.7567</x:v>
      </x:c>
      <x:c r="D79" s="17" t="n">
        <x:v>35.3014</x:v>
      </x:c>
      <x:c r="E79" s="17" t="n">
        <x:f>C79-D79</x:f>
        <x:v>50.455299999999994</x:v>
      </x:c>
      <x:c r="F79" s="20" t="n">
        <x:f>IFERROR(E79/C79,0)</x:f>
        <x:v>0.5883540294810784</x:v>
      </x:c>
      <x:c r="G79" s="23" t="n">
        <x:v>1286</x:v>
      </x:c>
      <x:c r="H79" s="23" t="n">
        <x:v>10</x:v>
      </x:c>
      <x:c r="I79" s="23"/>
      <x:c r="J79" s="20"/>
      <x:c r="K79" s="26" t="n">
        <x:v>1</x:v>
      </x:c>
      <x:c r="L79" s="26" t="n">
        <x:v>0</x:v>
      </x:c>
      <x:c r="M79" s="14" t="str">
        <x:f>IF(AND(K79=1,L79=1),"both_correct",IF(K79=1,"vanilla_only",IF(L79=1,"candidate_only","both_wrong")))</x:f>
        <x:v>vanilla_only</x:v>
      </x:c>
      <x:c r="N79" s="26" t="n">
        <x:v>0</x:v>
      </x:c>
      <x:c r="O79" s="26" t="n">
        <x:v>0</x:v>
      </x:c>
    </x:row>
    <x:row r="80" ht="21" customHeight="1">
      <x:c r="A80" s="14" t="str">
        <x:v>投诉分类中文</x:v>
      </x:c>
      <x:c r="B80" s="14" t="str">
        <x:v>MAECOM00070</x:v>
      </x:c>
      <x:c r="C80" s="17" t="n">
        <x:v>42.7369</x:v>
      </x:c>
      <x:c r="D80" s="17" t="n">
        <x:v>31.0412</x:v>
      </x:c>
      <x:c r="E80" s="17" t="n">
        <x:f>C80-D80</x:f>
        <x:v>11.695699999999999</x:v>
      </x:c>
      <x:c r="F80" s="20" t="n">
        <x:f>IFERROR(E80/C80,0)</x:f>
        <x:v>0.27366748641104055</x:v>
      </x:c>
      <x:c r="G80" s="23" t="n">
        <x:v>736</x:v>
      </x:c>
      <x:c r="H80" s="23" t="n">
        <x:v>17</x:v>
      </x:c>
      <x:c r="I80" s="23"/>
      <x:c r="J80" s="20"/>
      <x:c r="K80" s="26" t="n">
        <x:v>1</x:v>
      </x:c>
      <x:c r="L80" s="26" t="n">
        <x:v>1</x:v>
      </x:c>
      <x:c r="M80" s="14" t="str">
        <x:f>IF(AND(K80=1,L80=1),"both_correct",IF(K80=1,"vanilla_only",IF(L80=1,"candidate_only","both_wrong")))</x:f>
        <x:v>both_correct</x:v>
      </x:c>
      <x:c r="N80" s="26" t="n">
        <x:v>0</x:v>
      </x:c>
      <x:c r="O80" s="26" t="n">
        <x:v>0</x:v>
      </x:c>
    </x:row>
    <x:row r="81" ht="21" customHeight="1">
      <x:c r="A81" s="14" t="str">
        <x:v>投诉分类中文</x:v>
      </x:c>
      <x:c r="B81" s="14" t="str">
        <x:v>MAECOM00071</x:v>
      </x:c>
      <x:c r="C81" s="17" t="n">
        <x:v>57.0652</x:v>
      </x:c>
      <x:c r="D81" s="17" t="n">
        <x:v>30.8135</x:v>
      </x:c>
      <x:c r="E81" s="17" t="n">
        <x:f>C81-D81</x:f>
        <x:v>26.251699999999996</x:v>
      </x:c>
      <x:c r="F81" s="20" t="n">
        <x:f>IFERROR(E81/C81,0)</x:f>
        <x:v>0.46002993067578835</x:v>
      </x:c>
      <x:c r="G81" s="23" t="n">
        <x:v>930</x:v>
      </x:c>
      <x:c r="H81" s="23" t="n">
        <x:v>10</x:v>
      </x:c>
      <x:c r="I81" s="23"/>
      <x:c r="J81" s="20"/>
      <x:c r="K81" s="26" t="n">
        <x:v>1</x:v>
      </x:c>
      <x:c r="L81" s="26" t="n">
        <x:v>1</x:v>
      </x:c>
      <x:c r="M81" s="14" t="str">
        <x:f>IF(AND(K81=1,L81=1),"both_correct",IF(K81=1,"vanilla_only",IF(L81=1,"candidate_only","both_wrong")))</x:f>
        <x:v>both_correct</x:v>
      </x:c>
      <x:c r="N81" s="26" t="n">
        <x:v>0</x:v>
      </x:c>
      <x:c r="O81" s="26" t="n">
        <x:v>0</x:v>
      </x:c>
    </x:row>
    <x:row r="82" ht="21" customHeight="1">
      <x:c r="A82" s="14" t="str">
        <x:v>投诉分类中文</x:v>
      </x:c>
      <x:c r="B82" s="14" t="str">
        <x:v>MAECOM00072</x:v>
      </x:c>
      <x:c r="C82" s="17" t="n">
        <x:v>46.3855</x:v>
      </x:c>
      <x:c r="D82" s="17" t="n">
        <x:v>30.9027</x:v>
      </x:c>
      <x:c r="E82" s="17" t="n">
        <x:f>C82-D82</x:f>
        <x:v>15.482800000000001</x:v>
      </x:c>
      <x:c r="F82" s="20" t="n">
        <x:f>IFERROR(E82/C82,0)</x:f>
        <x:v>0.3337853424022593</x:v>
      </x:c>
      <x:c r="G82" s="23" t="n">
        <x:v>794</x:v>
      </x:c>
      <x:c r="H82" s="23" t="n">
        <x:v>16</x:v>
      </x:c>
      <x:c r="I82" s="23"/>
      <x:c r="J82" s="20"/>
      <x:c r="K82" s="26" t="n">
        <x:v>1</x:v>
      </x:c>
      <x:c r="L82" s="26" t="n">
        <x:v>1</x:v>
      </x:c>
      <x:c r="M82" s="14" t="str">
        <x:f>IF(AND(K82=1,L82=1),"both_correct",IF(K82=1,"vanilla_only",IF(L82=1,"candidate_only","both_wrong")))</x:f>
        <x:v>both_correct</x:v>
      </x:c>
      <x:c r="N82" s="26" t="n">
        <x:v>0</x:v>
      </x:c>
      <x:c r="O82" s="26" t="n">
        <x:v>0</x:v>
      </x:c>
    </x:row>
    <x:row r="83" ht="21" customHeight="1">
      <x:c r="A83" s="14" t="str">
        <x:v>投诉分类中文</x:v>
      </x:c>
      <x:c r="B83" s="14" t="str">
        <x:v>MAECOM00073</x:v>
      </x:c>
      <x:c r="C83" s="17" t="n">
        <x:v>49.8514</x:v>
      </x:c>
      <x:c r="D83" s="17" t="n">
        <x:v>29.2874</x:v>
      </x:c>
      <x:c r="E83" s="17" t="n">
        <x:f>C83-D83</x:f>
        <x:v>20.563999999999997</x:v>
      </x:c>
      <x:c r="F83" s="20" t="n">
        <x:f>IFERROR(E83/C83,0)</x:f>
        <x:v>0.41250596773611165</x:v>
      </x:c>
      <x:c r="G83" s="23" t="n">
        <x:v>893</x:v>
      </x:c>
      <x:c r="H83" s="23" t="n">
        <x:v>16</x:v>
      </x:c>
      <x:c r="I83" s="23"/>
      <x:c r="J83" s="20"/>
      <x:c r="K83" s="26" t="n">
        <x:v>1</x:v>
      </x:c>
      <x:c r="L83" s="26" t="n">
        <x:v>1</x:v>
      </x:c>
      <x:c r="M83" s="14" t="str">
        <x:f>IF(AND(K83=1,L83=1),"both_correct",IF(K83=1,"vanilla_only",IF(L83=1,"candidate_only","both_wrong")))</x:f>
        <x:v>both_correct</x:v>
      </x:c>
      <x:c r="N83" s="26" t="n">
        <x:v>0</x:v>
      </x:c>
      <x:c r="O83" s="26" t="n">
        <x:v>0</x:v>
      </x:c>
    </x:row>
    <x:row r="84" ht="21" customHeight="1">
      <x:c r="A84" s="14" t="str">
        <x:v>投诉分类中文</x:v>
      </x:c>
      <x:c r="B84" s="14" t="str">
        <x:v>MAECOM00074</x:v>
      </x:c>
      <x:c r="C84" s="17" t="n">
        <x:v>58.2299</x:v>
      </x:c>
      <x:c r="D84" s="17" t="n">
        <x:v>33.4907</x:v>
      </x:c>
      <x:c r="E84" s="17" t="n">
        <x:f>C84-D84</x:f>
        <x:v>24.739200000000004</x:v>
      </x:c>
      <x:c r="F84" s="20" t="n">
        <x:f>IFERROR(E84/C84,0)</x:f>
        <x:v>0.42485389808328716</x:v>
      </x:c>
      <x:c r="G84" s="23" t="n">
        <x:v>978</x:v>
      </x:c>
      <x:c r="H84" s="23" t="n">
        <x:v>22</x:v>
      </x:c>
      <x:c r="I84" s="23"/>
      <x:c r="J84" s="20"/>
      <x:c r="K84" s="26" t="n">
        <x:v>1</x:v>
      </x:c>
      <x:c r="L84" s="26" t="n">
        <x:v>1</x:v>
      </x:c>
      <x:c r="M84" s="14" t="str">
        <x:f>IF(AND(K84=1,L84=1),"both_correct",IF(K84=1,"vanilla_only",IF(L84=1,"candidate_only","both_wrong")))</x:f>
        <x:v>both_correct</x:v>
      </x:c>
      <x:c r="N84" s="26" t="n">
        <x:v>0</x:v>
      </x:c>
      <x:c r="O84" s="26" t="n">
        <x:v>0</x:v>
      </x:c>
    </x:row>
    <x:row r="85" ht="21" customHeight="1">
      <x:c r="A85" s="14" t="str">
        <x:v>投诉分类中文</x:v>
      </x:c>
      <x:c r="B85" s="14" t="str">
        <x:v>MAECOM00075</x:v>
      </x:c>
      <x:c r="C85" s="17" t="n">
        <x:v>59.5676</x:v>
      </x:c>
      <x:c r="D85" s="17" t="n">
        <x:v>32.2386</x:v>
      </x:c>
      <x:c r="E85" s="17" t="n">
        <x:f>C85-D85</x:f>
        <x:v>27.329</x:v>
      </x:c>
      <x:c r="F85" s="20" t="n">
        <x:f>IFERROR(E85/C85,0)</x:f>
        <x:v>0.4587896776099759</x:v>
      </x:c>
      <x:c r="G85" s="23" t="n">
        <x:v>950</x:v>
      </x:c>
      <x:c r="H85" s="23" t="n">
        <x:v>17</x:v>
      </x:c>
      <x:c r="I85" s="23"/>
      <x:c r="J85" s="20"/>
      <x:c r="K85" s="26" t="n">
        <x:v>1</x:v>
      </x:c>
      <x:c r="L85" s="26" t="n">
        <x:v>1</x:v>
      </x:c>
      <x:c r="M85" s="14" t="str">
        <x:f>IF(AND(K85=1,L85=1),"both_correct",IF(K85=1,"vanilla_only",IF(L85=1,"candidate_only","both_wrong")))</x:f>
        <x:v>both_correct</x:v>
      </x:c>
      <x:c r="N85" s="26" t="n">
        <x:v>0</x:v>
      </x:c>
      <x:c r="O85" s="26" t="n">
        <x:v>0</x:v>
      </x:c>
    </x:row>
    <x:row r="86" ht="21" customHeight="1">
      <x:c r="A86" s="14" t="str">
        <x:v>投诉分类中文</x:v>
      </x:c>
      <x:c r="B86" s="14" t="str">
        <x:v>MAECOM00076</x:v>
      </x:c>
      <x:c r="C86" s="17" t="n">
        <x:v>41.5847</x:v>
      </x:c>
      <x:c r="D86" s="17" t="n">
        <x:v>28.3486</x:v>
      </x:c>
      <x:c r="E86" s="17" t="n">
        <x:f>C86-D86</x:f>
        <x:v>13.236099999999997</x:v>
      </x:c>
      <x:c r="F86" s="20" t="n">
        <x:f>IFERROR(E86/C86,0)</x:f>
        <x:v>0.3182925450947103</x:v>
      </x:c>
      <x:c r="G86" s="23" t="n">
        <x:v>726</x:v>
      </x:c>
      <x:c r="H86" s="23" t="n">
        <x:v>16</x:v>
      </x:c>
      <x:c r="I86" s="23"/>
      <x:c r="J86" s="20"/>
      <x:c r="K86" s="26" t="n">
        <x:v>1</x:v>
      </x:c>
      <x:c r="L86" s="26" t="n">
        <x:v>1</x:v>
      </x:c>
      <x:c r="M86" s="14" t="str">
        <x:f>IF(AND(K86=1,L86=1),"both_correct",IF(K86=1,"vanilla_only",IF(L86=1,"candidate_only","both_wrong")))</x:f>
        <x:v>both_correct</x:v>
      </x:c>
      <x:c r="N86" s="26" t="n">
        <x:v>0</x:v>
      </x:c>
      <x:c r="O86" s="26" t="n">
        <x:v>0</x:v>
      </x:c>
    </x:row>
    <x:row r="87" ht="21" customHeight="1">
      <x:c r="A87" s="14" t="str">
        <x:v>投诉分类中文</x:v>
      </x:c>
      <x:c r="B87" s="14" t="str">
        <x:v>MAECOM00077</x:v>
      </x:c>
      <x:c r="C87" s="17" t="n">
        <x:v>45.2909</x:v>
      </x:c>
      <x:c r="D87" s="17" t="n">
        <x:v>28.6589</x:v>
      </x:c>
      <x:c r="E87" s="17" t="n">
        <x:f>C87-D87</x:f>
        <x:v>16.632</x:v>
      </x:c>
      <x:c r="F87" s="20" t="n">
        <x:f>IFERROR(E87/C87,0)</x:f>
        <x:v>0.36722608735971246</x:v>
      </x:c>
      <x:c r="G87" s="23" t="n">
        <x:v>782</x:v>
      </x:c>
      <x:c r="H87" s="23" t="n">
        <x:v>16</x:v>
      </x:c>
      <x:c r="I87" s="23"/>
      <x:c r="J87" s="20"/>
      <x:c r="K87" s="26" t="n">
        <x:v>1</x:v>
      </x:c>
      <x:c r="L87" s="26" t="n">
        <x:v>1</x:v>
      </x:c>
      <x:c r="M87" s="14" t="str">
        <x:f>IF(AND(K87=1,L87=1),"both_correct",IF(K87=1,"vanilla_only",IF(L87=1,"candidate_only","both_wrong")))</x:f>
        <x:v>both_correct</x:v>
      </x:c>
      <x:c r="N87" s="26" t="n">
        <x:v>0</x:v>
      </x:c>
      <x:c r="O87" s="26" t="n">
        <x:v>0</x:v>
      </x:c>
    </x:row>
    <x:row r="88" ht="21" customHeight="1">
      <x:c r="A88" s="14" t="str">
        <x:v>投诉分类中文</x:v>
      </x:c>
      <x:c r="B88" s="14" t="str">
        <x:v>MAECOM00078</x:v>
      </x:c>
      <x:c r="C88" s="17" t="n">
        <x:v>51.5296</x:v>
      </x:c>
      <x:c r="D88" s="17" t="n">
        <x:v>28.6909</x:v>
      </x:c>
      <x:c r="E88" s="17" t="n">
        <x:f>C88-D88</x:f>
        <x:v>22.838700000000003</x:v>
      </x:c>
      <x:c r="F88" s="20" t="n">
        <x:f>IFERROR(E88/C88,0)</x:f>
        <x:v>0.4432151617710986</x:v>
      </x:c>
      <x:c r="G88" s="23" t="n">
        <x:v>876</x:v>
      </x:c>
      <x:c r="H88" s="23" t="n">
        <x:v>17</x:v>
      </x:c>
      <x:c r="I88" s="23"/>
      <x:c r="J88" s="20"/>
      <x:c r="K88" s="26" t="n">
        <x:v>1</x:v>
      </x:c>
      <x:c r="L88" s="26" t="n">
        <x:v>0</x:v>
      </x:c>
      <x:c r="M88" s="14" t="str">
        <x:f>IF(AND(K88=1,L88=1),"both_correct",IF(K88=1,"vanilla_only",IF(L88=1,"candidate_only","both_wrong")))</x:f>
        <x:v>vanilla_only</x:v>
      </x:c>
      <x:c r="N88" s="26" t="n">
        <x:v>0</x:v>
      </x:c>
      <x:c r="O88" s="26" t="n">
        <x:v>0</x:v>
      </x:c>
    </x:row>
    <x:row r="89" ht="21" customHeight="1">
      <x:c r="A89" s="14" t="str">
        <x:v>投诉分类中文</x:v>
      </x:c>
      <x:c r="B89" s="14" t="str">
        <x:v>MAECOM00079</x:v>
      </x:c>
      <x:c r="C89" s="17" t="n">
        <x:v>71.1829</x:v>
      </x:c>
      <x:c r="D89" s="17" t="n">
        <x:v>32.8417</x:v>
      </x:c>
      <x:c r="E89" s="17" t="n">
        <x:f>C89-D89</x:f>
        <x:v>38.3412</x:v>
      </x:c>
      <x:c r="F89" s="20" t="n">
        <x:f>IFERROR(E89/C89,0)</x:f>
        <x:v>0.538629361827068</x:v>
      </x:c>
      <x:c r="G89" s="23" t="n">
        <x:v>1057</x:v>
      </x:c>
      <x:c r="H89" s="23" t="n">
        <x:v>13</x:v>
      </x:c>
      <x:c r="I89" s="23"/>
      <x:c r="J89" s="20"/>
      <x:c r="K89" s="26" t="n">
        <x:v>0</x:v>
      </x:c>
      <x:c r="L89" s="26" t="n">
        <x:v>0</x:v>
      </x:c>
      <x:c r="M89" s="14" t="str">
        <x:f>IF(AND(K89=1,L89=1),"both_correct",IF(K89=1,"vanilla_only",IF(L89=1,"candidate_only","both_wrong")))</x:f>
        <x:v>both_wrong</x:v>
      </x:c>
      <x:c r="N89" s="26" t="n">
        <x:v>0</x:v>
      </x:c>
      <x:c r="O89" s="26" t="n">
        <x:v>0</x:v>
      </x:c>
    </x:row>
    <x:row r="90" ht="21" customHeight="1">
      <x:c r="A90" s="14" t="str">
        <x:v>投诉分类中文</x:v>
      </x:c>
      <x:c r="B90" s="14" t="str">
        <x:v>MAECOM00080</x:v>
      </x:c>
      <x:c r="C90" s="17" t="n">
        <x:v>52.4924</x:v>
      </x:c>
      <x:c r="D90" s="17" t="n">
        <x:v>29.1992</x:v>
      </x:c>
      <x:c r="E90" s="17" t="n">
        <x:f>C90-D90</x:f>
        <x:v>23.293200000000002</x:v>
      </x:c>
      <x:c r="F90" s="20" t="n">
        <x:f>IFERROR(E90/C90,0)</x:f>
        <x:v>0.44374423726101303</x:v>
      </x:c>
      <x:c r="G90" s="23" t="n">
        <x:v>840</x:v>
      </x:c>
      <x:c r="H90" s="23" t="n">
        <x:v>8</x:v>
      </x:c>
      <x:c r="I90" s="23"/>
      <x:c r="J90" s="20"/>
      <x:c r="K90" s="26" t="n">
        <x:v>0</x:v>
      </x:c>
      <x:c r="L90" s="26" t="n">
        <x:v>0</x:v>
      </x:c>
      <x:c r="M90" s="14" t="str">
        <x:f>IF(AND(K90=1,L90=1),"both_correct",IF(K90=1,"vanilla_only",IF(L90=1,"candidate_only","both_wrong")))</x:f>
        <x:v>both_wrong</x:v>
      </x:c>
      <x:c r="N90" s="26" t="n">
        <x:v>0</x:v>
      </x:c>
      <x:c r="O90" s="26" t="n">
        <x:v>0</x:v>
      </x:c>
    </x:row>
    <x:row r="91" ht="21" customHeight="1">
      <x:c r="A91" s="14" t="str">
        <x:v>投诉分类中文</x:v>
      </x:c>
      <x:c r="B91" s="14" t="str">
        <x:v>MAECOM00081</x:v>
      </x:c>
      <x:c r="C91" s="17" t="n">
        <x:v>66.4867</x:v>
      </x:c>
      <x:c r="D91" s="17" t="n">
        <x:v>31.6901</x:v>
      </x:c>
      <x:c r="E91" s="17" t="n">
        <x:f>C91-D91</x:f>
        <x:v>34.7966</x:v>
      </x:c>
      <x:c r="F91" s="20" t="n">
        <x:f>IFERROR(E91/C91,0)</x:f>
        <x:v>0.5233618152201869</x:v>
      </x:c>
      <x:c r="G91" s="23" t="n">
        <x:v>1021</x:v>
      </x:c>
      <x:c r="H91" s="23" t="n">
        <x:v>12</x:v>
      </x:c>
      <x:c r="I91" s="23"/>
      <x:c r="J91" s="20"/>
      <x:c r="K91" s="26" t="n">
        <x:v>0</x:v>
      </x:c>
      <x:c r="L91" s="26" t="n">
        <x:v>0</x:v>
      </x:c>
      <x:c r="M91" s="14" t="str">
        <x:f>IF(AND(K91=1,L91=1),"both_correct",IF(K91=1,"vanilla_only",IF(L91=1,"candidate_only","both_wrong")))</x:f>
        <x:v>both_wrong</x:v>
      </x:c>
      <x:c r="N91" s="26" t="n">
        <x:v>0</x:v>
      </x:c>
      <x:c r="O91" s="26" t="n">
        <x:v>0</x:v>
      </x:c>
    </x:row>
    <x:row r="92" ht="21" customHeight="1">
      <x:c r="A92" s="14" t="str">
        <x:v>投诉分类中文</x:v>
      </x:c>
      <x:c r="B92" s="14" t="str">
        <x:v>MAECOM00082</x:v>
      </x:c>
      <x:c r="C92" s="17" t="n">
        <x:v>61.9387</x:v>
      </x:c>
      <x:c r="D92" s="17" t="n">
        <x:v>64.8953</x:v>
      </x:c>
      <x:c r="E92" s="17" t="n">
        <x:f>C92-D92</x:f>
        <x:v>-2.9566000000000088</x:v>
      </x:c>
      <x:c r="F92" s="20" t="n">
        <x:f>IFERROR(E92/C92,0)</x:f>
        <x:v>-0.047734292130768144</x:v>
      </x:c>
      <x:c r="G92" s="23" t="n">
        <x:v>954</x:v>
      </x:c>
      <x:c r="H92" s="23" t="n">
        <x:v>509</x:v>
      </x:c>
      <x:c r="I92" s="23"/>
      <x:c r="J92" s="20"/>
      <x:c r="K92" s="26" t="n">
        <x:v>1</x:v>
      </x:c>
      <x:c r="L92" s="26" t="n">
        <x:v>1</x:v>
      </x:c>
      <x:c r="M92" s="14" t="str">
        <x:f>IF(AND(K92=1,L92=1),"both_correct",IF(K92=1,"vanilla_only",IF(L92=1,"candidate_only","both_wrong")))</x:f>
        <x:v>both_correct</x:v>
      </x:c>
      <x:c r="N92" s="26" t="n">
        <x:v>0</x:v>
      </x:c>
      <x:c r="O92" s="26" t="n">
        <x:v>0</x:v>
      </x:c>
    </x:row>
    <x:row r="93" ht="21" customHeight="1">
      <x:c r="A93" s="14" t="str">
        <x:v>投诉分类中文</x:v>
      </x:c>
      <x:c r="B93" s="14" t="str">
        <x:v>MAECOM00083</x:v>
      </x:c>
      <x:c r="C93" s="17" t="n">
        <x:v>66.2958</x:v>
      </x:c>
      <x:c r="D93" s="17" t="n">
        <x:v>30.9549</x:v>
      </x:c>
      <x:c r="E93" s="17" t="n">
        <x:f>C93-D93</x:f>
        <x:v>35.340900000000005</x:v>
      </x:c>
      <x:c r="F93" s="20" t="n">
        <x:f>IFERROR(E93/C93,0)</x:f>
        <x:v>0.5330790185803627</x:v>
      </x:c>
      <x:c r="G93" s="23" t="n">
        <x:v>987</x:v>
      </x:c>
      <x:c r="H93" s="23" t="n">
        <x:v>16</x:v>
      </x:c>
      <x:c r="I93" s="23"/>
      <x:c r="J93" s="20"/>
      <x:c r="K93" s="26" t="n">
        <x:v>1</x:v>
      </x:c>
      <x:c r="L93" s="26" t="n">
        <x:v>1</x:v>
      </x:c>
      <x:c r="M93" s="14" t="str">
        <x:f>IF(AND(K93=1,L93=1),"both_correct",IF(K93=1,"vanilla_only",IF(L93=1,"candidate_only","both_wrong")))</x:f>
        <x:v>both_correct</x:v>
      </x:c>
      <x:c r="N93" s="26" t="n">
        <x:v>0</x:v>
      </x:c>
      <x:c r="O93" s="26" t="n">
        <x:v>0</x:v>
      </x:c>
    </x:row>
    <x:row r="94" ht="21" customHeight="1">
      <x:c r="A94" s="14" t="str">
        <x:v>投诉分类中文</x:v>
      </x:c>
      <x:c r="B94" s="14" t="str">
        <x:v>MAECOM00084</x:v>
      </x:c>
      <x:c r="C94" s="17" t="n">
        <x:v>54.458</x:v>
      </x:c>
      <x:c r="D94" s="17" t="n">
        <x:v>29.0512</x:v>
      </x:c>
      <x:c r="E94" s="17" t="n">
        <x:f>C94-D94</x:f>
        <x:v>25.406799999999997</x:v>
      </x:c>
      <x:c r="F94" s="20" t="n">
        <x:f>IFERROR(E94/C94,0)</x:f>
        <x:v>0.4665393514267876</x:v>
      </x:c>
      <x:c r="G94" s="23" t="n">
        <x:v>892</x:v>
      </x:c>
      <x:c r="H94" s="23" t="n">
        <x:v>16</x:v>
      </x:c>
      <x:c r="I94" s="23"/>
      <x:c r="J94" s="20"/>
      <x:c r="K94" s="26" t="n">
        <x:v>1</x:v>
      </x:c>
      <x:c r="L94" s="26" t="n">
        <x:v>1</x:v>
      </x:c>
      <x:c r="M94" s="14" t="str">
        <x:f>IF(AND(K94=1,L94=1),"both_correct",IF(K94=1,"vanilla_only",IF(L94=1,"candidate_only","both_wrong")))</x:f>
        <x:v>both_correct</x:v>
      </x:c>
      <x:c r="N94" s="26" t="n">
        <x:v>0</x:v>
      </x:c>
      <x:c r="O94" s="26" t="n">
        <x:v>0</x:v>
      </x:c>
    </x:row>
    <x:row r="95" ht="21" customHeight="1">
      <x:c r="A95" s="14" t="str">
        <x:v>投诉分类中文</x:v>
      </x:c>
      <x:c r="B95" s="14" t="str">
        <x:v>MAECOM00085</x:v>
      </x:c>
      <x:c r="C95" s="17" t="n">
        <x:v>71.8548</x:v>
      </x:c>
      <x:c r="D95" s="17" t="n">
        <x:v>31.9049</x:v>
      </x:c>
      <x:c r="E95" s="17" t="n">
        <x:f>C95-D95</x:f>
        <x:v>39.9499</x:v>
      </x:c>
      <x:c r="F95" s="20" t="n">
        <x:f>IFERROR(E95/C95,0)</x:f>
        <x:v>0.5559809504723414</x:v>
      </x:c>
      <x:c r="G95" s="23" t="n">
        <x:v>1044</x:v>
      </x:c>
      <x:c r="H95" s="23" t="n">
        <x:v>17</x:v>
      </x:c>
      <x:c r="I95" s="23"/>
      <x:c r="J95" s="20"/>
      <x:c r="K95" s="26" t="n">
        <x:v>0</x:v>
      </x:c>
      <x:c r="L95" s="26" t="n">
        <x:v>0</x:v>
      </x:c>
      <x:c r="M95" s="14" t="str">
        <x:f>IF(AND(K95=1,L95=1),"both_correct",IF(K95=1,"vanilla_only",IF(L95=1,"candidate_only","both_wrong")))</x:f>
        <x:v>both_wrong</x:v>
      </x:c>
      <x:c r="N95" s="26" t="n">
        <x:v>0</x:v>
      </x:c>
      <x:c r="O95" s="26" t="n">
        <x:v>0</x:v>
      </x:c>
    </x:row>
    <x:row r="96" ht="21" customHeight="1">
      <x:c r="A96" s="14" t="str">
        <x:v>投诉分类中文</x:v>
      </x:c>
      <x:c r="B96" s="14" t="str">
        <x:v>MAECOM00086</x:v>
      </x:c>
      <x:c r="C96" s="17" t="n">
        <x:v>56.4303</x:v>
      </x:c>
      <x:c r="D96" s="17" t="n">
        <x:v>27.7176</x:v>
      </x:c>
      <x:c r="E96" s="17" t="n">
        <x:f>C96-D96</x:f>
        <x:v>28.7127</x:v>
      </x:c>
      <x:c r="F96" s="20" t="n">
        <x:f>IFERROR(E96/C96,0)</x:f>
        <x:v>0.5088170716795763</x:v>
      </x:c>
      <x:c r="G96" s="23" t="n">
        <x:v>916</x:v>
      </x:c>
      <x:c r="H96" s="23" t="n">
        <x:v>16</x:v>
      </x:c>
      <x:c r="I96" s="23"/>
      <x:c r="J96" s="20"/>
      <x:c r="K96" s="26" t="n">
        <x:v>1</x:v>
      </x:c>
      <x:c r="L96" s="26" t="n">
        <x:v>1</x:v>
      </x:c>
      <x:c r="M96" s="14" t="str">
        <x:f>IF(AND(K96=1,L96=1),"both_correct",IF(K96=1,"vanilla_only",IF(L96=1,"candidate_only","both_wrong")))</x:f>
        <x:v>both_correct</x:v>
      </x:c>
      <x:c r="N96" s="26" t="n">
        <x:v>0</x:v>
      </x:c>
      <x:c r="O96" s="26" t="n">
        <x:v>0</x:v>
      </x:c>
    </x:row>
    <x:row r="97" ht="21" customHeight="1">
      <x:c r="A97" s="14" t="str">
        <x:v>投诉分类中文</x:v>
      </x:c>
      <x:c r="B97" s="14" t="str">
        <x:v>MAECOM00087</x:v>
      </x:c>
      <x:c r="C97" s="17" t="n">
        <x:v>62.9913</x:v>
      </x:c>
      <x:c r="D97" s="17" t="n">
        <x:v>30.3449</x:v>
      </x:c>
      <x:c r="E97" s="17" t="n">
        <x:f>C97-D97</x:f>
        <x:v>32.6464</x:v>
      </x:c>
      <x:c r="F97" s="20" t="n">
        <x:f>IFERROR(E97/C97,0)</x:f>
        <x:v>0.5182683957943398</x:v>
      </x:c>
      <x:c r="G97" s="23" t="n">
        <x:v>1041</x:v>
      </x:c>
      <x:c r="H97" s="23" t="n">
        <x:v>13</x:v>
      </x:c>
      <x:c r="I97" s="23"/>
      <x:c r="J97" s="20"/>
      <x:c r="K97" s="26" t="n">
        <x:v>1</x:v>
      </x:c>
      <x:c r="L97" s="26" t="n">
        <x:v>1</x:v>
      </x:c>
      <x:c r="M97" s="14" t="str">
        <x:f>IF(AND(K97=1,L97=1),"both_correct",IF(K97=1,"vanilla_only",IF(L97=1,"candidate_only","both_wrong")))</x:f>
        <x:v>both_correct</x:v>
      </x:c>
      <x:c r="N97" s="26" t="n">
        <x:v>0</x:v>
      </x:c>
      <x:c r="O97" s="26" t="n">
        <x:v>0</x:v>
      </x:c>
    </x:row>
    <x:row r="98" ht="21" customHeight="1">
      <x:c r="A98" s="14" t="str">
        <x:v>投诉分类中文</x:v>
      </x:c>
      <x:c r="B98" s="14" t="str">
        <x:v>MAECOM00088</x:v>
      </x:c>
      <x:c r="C98" s="17" t="n">
        <x:v>52.9038</x:v>
      </x:c>
      <x:c r="D98" s="17" t="n">
        <x:v>29.672</x:v>
      </x:c>
      <x:c r="E98" s="17" t="n">
        <x:f>C98-D98</x:f>
        <x:v>23.231799999999996</x:v>
      </x:c>
      <x:c r="F98" s="20" t="n">
        <x:f>IFERROR(E98/C98,0)</x:f>
        <x:v>0.4391329167280989</x:v>
      </x:c>
      <x:c r="G98" s="23" t="n">
        <x:v>863</x:v>
      </x:c>
      <x:c r="H98" s="23" t="n">
        <x:v>13</x:v>
      </x:c>
      <x:c r="I98" s="23"/>
      <x:c r="J98" s="20"/>
      <x:c r="K98" s="26" t="n">
        <x:v>1</x:v>
      </x:c>
      <x:c r="L98" s="26" t="n">
        <x:v>1</x:v>
      </x:c>
      <x:c r="M98" s="14" t="str">
        <x:f>IF(AND(K98=1,L98=1),"both_correct",IF(K98=1,"vanilla_only",IF(L98=1,"candidate_only","both_wrong")))</x:f>
        <x:v>both_correct</x:v>
      </x:c>
      <x:c r="N98" s="26" t="n">
        <x:v>0</x:v>
      </x:c>
      <x:c r="O98" s="26" t="n">
        <x:v>0</x:v>
      </x:c>
    </x:row>
    <x:row r="99" ht="21" customHeight="1">
      <x:c r="A99" s="14" t="str">
        <x:v>投诉分类中文</x:v>
      </x:c>
      <x:c r="B99" s="14" t="str">
        <x:v>MAECOM00089</x:v>
      </x:c>
      <x:c r="C99" s="17" t="n">
        <x:v>64.9034</x:v>
      </x:c>
      <x:c r="D99" s="17" t="n">
        <x:v>34.2322</x:v>
      </x:c>
      <x:c r="E99" s="17" t="n">
        <x:f>C99-D99</x:f>
        <x:v>30.671200000000006</x:v>
      </x:c>
      <x:c r="F99" s="20" t="n">
        <x:f>IFERROR(E99/C99,0)</x:f>
        <x:v>0.4725669225341046</x:v>
      </x:c>
      <x:c r="G99" s="23" t="n">
        <x:v>1055</x:v>
      </x:c>
      <x:c r="H99" s="23" t="n">
        <x:v>12</x:v>
      </x:c>
      <x:c r="I99" s="23"/>
      <x:c r="J99" s="20"/>
      <x:c r="K99" s="26" t="n">
        <x:v>1</x:v>
      </x:c>
      <x:c r="L99" s="26" t="n">
        <x:v>1</x:v>
      </x:c>
      <x:c r="M99" s="14" t="str">
        <x:f>IF(AND(K99=1,L99=1),"both_correct",IF(K99=1,"vanilla_only",IF(L99=1,"candidate_only","both_wrong")))</x:f>
        <x:v>both_correct</x:v>
      </x:c>
      <x:c r="N99" s="26" t="n">
        <x:v>0</x:v>
      </x:c>
      <x:c r="O99" s="26" t="n">
        <x:v>0</x:v>
      </x:c>
    </x:row>
    <x:row r="100" ht="21" customHeight="1">
      <x:c r="A100" s="14" t="str">
        <x:v>投诉分类中文</x:v>
      </x:c>
      <x:c r="B100" s="14" t="str">
        <x:v>MAECOM00090</x:v>
      </x:c>
      <x:c r="C100" s="17" t="n">
        <x:v>55.3569</x:v>
      </x:c>
      <x:c r="D100" s="17" t="n">
        <x:v>30.2809</x:v>
      </x:c>
      <x:c r="E100" s="17" t="n">
        <x:f>C100-D100</x:f>
        <x:v>25.076000000000004</x:v>
      </x:c>
      <x:c r="F100" s="20" t="n">
        <x:f>IFERROR(E100/C100,0)</x:f>
        <x:v>0.45298779375290166</x:v>
      </x:c>
      <x:c r="G100" s="23" t="n">
        <x:v>1019</x:v>
      </x:c>
      <x:c r="H100" s="23" t="n">
        <x:v>13</x:v>
      </x:c>
      <x:c r="I100" s="23"/>
      <x:c r="J100" s="20"/>
      <x:c r="K100" s="26" t="n">
        <x:v>1</x:v>
      </x:c>
      <x:c r="L100" s="26" t="n">
        <x:v>1</x:v>
      </x:c>
      <x:c r="M100" s="14" t="str">
        <x:f>IF(AND(K100=1,L100=1),"both_correct",IF(K100=1,"vanilla_only",IF(L100=1,"candidate_only","both_wrong")))</x:f>
        <x:v>both_correct</x:v>
      </x:c>
      <x:c r="N100" s="26" t="n">
        <x:v>0</x:v>
      </x:c>
      <x:c r="O100" s="26" t="n">
        <x:v>0</x:v>
      </x:c>
    </x:row>
    <x:row r="101" ht="21" customHeight="1">
      <x:c r="A101" s="14" t="str">
        <x:v>投诉分类中文</x:v>
      </x:c>
      <x:c r="B101" s="14" t="str">
        <x:v>MAECOM00091</x:v>
      </x:c>
      <x:c r="C101" s="17" t="n">
        <x:v>58.602</x:v>
      </x:c>
      <x:c r="D101" s="17" t="n">
        <x:v>34.0939</x:v>
      </x:c>
      <x:c r="E101" s="17" t="n">
        <x:f>C101-D101</x:f>
        <x:v>24.5081</x:v>
      </x:c>
      <x:c r="F101" s="20" t="n">
        <x:f>IFERROR(E101/C101,0)</x:f>
        <x:v>0.418212688986724</x:v>
      </x:c>
      <x:c r="G101" s="23" t="n">
        <x:v>1047</x:v>
      </x:c>
      <x:c r="H101" s="23" t="n">
        <x:v>12</x:v>
      </x:c>
      <x:c r="I101" s="23"/>
      <x:c r="J101" s="20"/>
      <x:c r="K101" s="26" t="n">
        <x:v>1</x:v>
      </x:c>
      <x:c r="L101" s="26" t="n">
        <x:v>1</x:v>
      </x:c>
      <x:c r="M101" s="14" t="str">
        <x:f>IF(AND(K101=1,L101=1),"both_correct",IF(K101=1,"vanilla_only",IF(L101=1,"candidate_only","both_wrong")))</x:f>
        <x:v>both_correct</x:v>
      </x:c>
      <x:c r="N101" s="26" t="n">
        <x:v>0</x:v>
      </x:c>
      <x:c r="O101" s="26" t="n">
        <x:v>0</x:v>
      </x:c>
    </x:row>
    <x:row r="102" ht="21" customHeight="1">
      <x:c r="A102" s="14" t="str">
        <x:v>投诉分类中文</x:v>
      </x:c>
      <x:c r="B102" s="14" t="str">
        <x:v>MAECOM00092</x:v>
      </x:c>
      <x:c r="C102" s="17" t="n">
        <x:v>63.9403</x:v>
      </x:c>
      <x:c r="D102" s="17" t="n">
        <x:v>34.8941</x:v>
      </x:c>
      <x:c r="E102" s="17" t="n">
        <x:f>C102-D102</x:f>
        <x:v>29.0462</x:v>
      </x:c>
      <x:c r="F102" s="20" t="n">
        <x:f>IFERROR(E102/C102,0)</x:f>
        <x:v>0.4542706243167454</x:v>
      </x:c>
      <x:c r="G102" s="23" t="n">
        <x:v>1039</x:v>
      </x:c>
      <x:c r="H102" s="23" t="n">
        <x:v>13</x:v>
      </x:c>
      <x:c r="I102" s="23"/>
      <x:c r="J102" s="20"/>
      <x:c r="K102" s="26" t="n">
        <x:v>0</x:v>
      </x:c>
      <x:c r="L102" s="26" t="n">
        <x:v>1</x:v>
      </x:c>
      <x:c r="M102" s="14" t="str">
        <x:f>IF(AND(K102=1,L102=1),"both_correct",IF(K102=1,"vanilla_only",IF(L102=1,"candidate_only","both_wrong")))</x:f>
        <x:v>candidate_only</x:v>
      </x:c>
      <x:c r="N102" s="26" t="n">
        <x:v>0</x:v>
      </x:c>
      <x:c r="O102" s="26" t="n">
        <x:v>0</x:v>
      </x:c>
    </x:row>
    <x:row r="103" ht="21" customHeight="1">
      <x:c r="A103" s="14" t="str">
        <x:v>投诉分类中文</x:v>
      </x:c>
      <x:c r="B103" s="14" t="str">
        <x:v>MAECOM00093</x:v>
      </x:c>
      <x:c r="C103" s="17" t="n">
        <x:v>78.3812</x:v>
      </x:c>
      <x:c r="D103" s="17" t="n">
        <x:v>52.6425</x:v>
      </x:c>
      <x:c r="E103" s="17" t="n">
        <x:f>C103-D103</x:f>
        <x:v>25.73870000000001</x:v>
      </x:c>
      <x:c r="F103" s="20" t="n">
        <x:f>IFERROR(E103/C103,0)</x:f>
        <x:v>0.32837848871923375</x:v>
      </x:c>
      <x:c r="G103" s="23" t="n">
        <x:v>1220</x:v>
      </x:c>
      <x:c r="H103" s="23" t="n">
        <x:v>13</x:v>
      </x:c>
      <x:c r="I103" s="23"/>
      <x:c r="J103" s="20"/>
      <x:c r="K103" s="26" t="n">
        <x:v>0</x:v>
      </x:c>
      <x:c r="L103" s="26" t="n">
        <x:v>1</x:v>
      </x:c>
      <x:c r="M103" s="14" t="str">
        <x:f>IF(AND(K103=1,L103=1),"both_correct",IF(K103=1,"vanilla_only",IF(L103=1,"candidate_only","both_wrong")))</x:f>
        <x:v>candidate_only</x:v>
      </x:c>
      <x:c r="N103" s="26" t="n">
        <x:v>0</x:v>
      </x:c>
      <x:c r="O103" s="26" t="n">
        <x:v>0</x:v>
      </x:c>
    </x:row>
    <x:row r="104" ht="21" customHeight="1">
      <x:c r="A104" s="14" t="str">
        <x:v>投诉分类中文</x:v>
      </x:c>
      <x:c r="B104" s="14" t="str">
        <x:v>MAECOM00094</x:v>
      </x:c>
      <x:c r="C104" s="17" t="n">
        <x:v>69.9831</x:v>
      </x:c>
      <x:c r="D104" s="17" t="n">
        <x:v>31.6899</x:v>
      </x:c>
      <x:c r="E104" s="17" t="n">
        <x:f>C104-D104</x:f>
        <x:v>38.29319999999999</x:v>
      </x:c>
      <x:c r="F104" s="20" t="n">
        <x:f>IFERROR(E104/C104,0)</x:f>
        <x:v>0.547177818644787</x:v>
      </x:c>
      <x:c r="G104" s="23" t="n">
        <x:v>1147</x:v>
      </x:c>
      <x:c r="H104" s="23" t="n">
        <x:v>12</x:v>
      </x:c>
      <x:c r="I104" s="23"/>
      <x:c r="J104" s="20"/>
      <x:c r="K104" s="26" t="n">
        <x:v>1</x:v>
      </x:c>
      <x:c r="L104" s="26" t="n">
        <x:v>1</x:v>
      </x:c>
      <x:c r="M104" s="14" t="str">
        <x:f>IF(AND(K104=1,L104=1),"both_correct",IF(K104=1,"vanilla_only",IF(L104=1,"candidate_only","both_wrong")))</x:f>
        <x:v>both_correct</x:v>
      </x:c>
      <x:c r="N104" s="26" t="n">
        <x:v>0</x:v>
      </x:c>
      <x:c r="O104" s="26" t="n">
        <x:v>0</x:v>
      </x:c>
    </x:row>
    <x:row r="105" ht="21" customHeight="1">
      <x:c r="A105" s="14" t="str">
        <x:v>投诉分类中文</x:v>
      </x:c>
      <x:c r="B105" s="14" t="str">
        <x:v>MAECOM00095</x:v>
      </x:c>
      <x:c r="C105" s="17" t="n">
        <x:v>46.9938</x:v>
      </x:c>
      <x:c r="D105" s="17" t="n">
        <x:v>32.7687</x:v>
      </x:c>
      <x:c r="E105" s="17" t="n">
        <x:f>C105-D105</x:f>
        <x:v>14.225099999999998</x:v>
      </x:c>
      <x:c r="F105" s="20" t="n">
        <x:f>IFERROR(E105/C105,0)</x:f>
        <x:v>0.302701632981372</x:v>
      </x:c>
      <x:c r="G105" s="23" t="n">
        <x:v>796</x:v>
      </x:c>
      <x:c r="H105" s="23" t="n">
        <x:v>12</x:v>
      </x:c>
      <x:c r="I105" s="23"/>
      <x:c r="J105" s="20"/>
      <x:c r="K105" s="26" t="n">
        <x:v>1</x:v>
      </x:c>
      <x:c r="L105" s="26" t="n">
        <x:v>1</x:v>
      </x:c>
      <x:c r="M105" s="14" t="str">
        <x:f>IF(AND(K105=1,L105=1),"both_correct",IF(K105=1,"vanilla_only",IF(L105=1,"candidate_only","both_wrong")))</x:f>
        <x:v>both_correct</x:v>
      </x:c>
      <x:c r="N105" s="26" t="n">
        <x:v>0</x:v>
      </x:c>
      <x:c r="O105" s="26" t="n">
        <x:v>0</x:v>
      </x:c>
    </x:row>
    <x:row r="106" ht="21" customHeight="1">
      <x:c r="A106" s="14" t="str">
        <x:v>投诉分类中文</x:v>
      </x:c>
      <x:c r="B106" s="14" t="str">
        <x:v>MAECOM00096</x:v>
      </x:c>
      <x:c r="C106" s="17" t="n">
        <x:v>46.3217</x:v>
      </x:c>
      <x:c r="D106" s="17" t="n">
        <x:v>34.9774</x:v>
      </x:c>
      <x:c r="E106" s="17" t="n">
        <x:f>C106-D106</x:f>
        <x:v>11.344299999999997</x:v>
      </x:c>
      <x:c r="F106" s="20" t="n">
        <x:f>IFERROR(E106/C106,0)</x:f>
        <x:v>0.24490249710179024</x:v>
      </x:c>
      <x:c r="G106" s="23" t="n">
        <x:v>783</x:v>
      </x:c>
      <x:c r="H106" s="23" t="n">
        <x:v>13</x:v>
      </x:c>
      <x:c r="I106" s="23"/>
      <x:c r="J106" s="20"/>
      <x:c r="K106" s="26" t="n">
        <x:v>1</x:v>
      </x:c>
      <x:c r="L106" s="26" t="n">
        <x:v>1</x:v>
      </x:c>
      <x:c r="M106" s="14" t="str">
        <x:f>IF(AND(K106=1,L106=1),"both_correct",IF(K106=1,"vanilla_only",IF(L106=1,"candidate_only","both_wrong")))</x:f>
        <x:v>both_correct</x:v>
      </x:c>
      <x:c r="N106" s="26" t="n">
        <x:v>0</x:v>
      </x:c>
      <x:c r="O106" s="26" t="n">
        <x:v>0</x:v>
      </x:c>
    </x:row>
    <x:row r="107" ht="21" customHeight="1">
      <x:c r="A107" s="14" t="str">
        <x:v>投诉分类中文</x:v>
      </x:c>
      <x:c r="B107" s="14" t="str">
        <x:v>MAECOM00097</x:v>
      </x:c>
      <x:c r="C107" s="17" t="n">
        <x:v>58.5502</x:v>
      </x:c>
      <x:c r="D107" s="17" t="n">
        <x:v>33.7797</x:v>
      </x:c>
      <x:c r="E107" s="17" t="n">
        <x:f>C107-D107</x:f>
        <x:v>24.7705</x:v>
      </x:c>
      <x:c r="F107" s="20" t="n">
        <x:f>IFERROR(E107/C107,0)</x:f>
        <x:v>0.4230643106257536</x:v>
      </x:c>
      <x:c r="G107" s="23" t="n">
        <x:v>958</x:v>
      </x:c>
      <x:c r="H107" s="23" t="n">
        <x:v>12</x:v>
      </x:c>
      <x:c r="I107" s="23"/>
      <x:c r="J107" s="20"/>
      <x:c r="K107" s="26" t="n">
        <x:v>1</x:v>
      </x:c>
      <x:c r="L107" s="26" t="n">
        <x:v>1</x:v>
      </x:c>
      <x:c r="M107" s="14" t="str">
        <x:f>IF(AND(K107=1,L107=1),"both_correct",IF(K107=1,"vanilla_only",IF(L107=1,"candidate_only","both_wrong")))</x:f>
        <x:v>both_correct</x:v>
      </x:c>
      <x:c r="N107" s="26" t="n">
        <x:v>0</x:v>
      </x:c>
      <x:c r="O107" s="26" t="n">
        <x:v>0</x:v>
      </x:c>
    </x:row>
    <x:row r="108" ht="21" customHeight="1">
      <x:c r="A108" s="14" t="str">
        <x:v>投诉分类中文</x:v>
      </x:c>
      <x:c r="B108" s="14" t="str">
        <x:v>MAECOM00098</x:v>
      </x:c>
      <x:c r="C108" s="17" t="n">
        <x:v>51.4801</x:v>
      </x:c>
      <x:c r="D108" s="17" t="n">
        <x:v>32.9094</x:v>
      </x:c>
      <x:c r="E108" s="17" t="n">
        <x:f>C108-D108</x:f>
        <x:v>18.570700000000002</x:v>
      </x:c>
      <x:c r="F108" s="20" t="n">
        <x:f>IFERROR(E108/C108,0)</x:f>
        <x:v>0.36073550750678424</x:v>
      </x:c>
      <x:c r="G108" s="23" t="n">
        <x:v>885</x:v>
      </x:c>
      <x:c r="H108" s="23" t="n">
        <x:v>13</x:v>
      </x:c>
      <x:c r="I108" s="23"/>
      <x:c r="J108" s="20"/>
      <x:c r="K108" s="26" t="n">
        <x:v>1</x:v>
      </x:c>
      <x:c r="L108" s="26" t="n">
        <x:v>1</x:v>
      </x:c>
      <x:c r="M108" s="14" t="str">
        <x:f>IF(AND(K108=1,L108=1),"both_correct",IF(K108=1,"vanilla_only",IF(L108=1,"candidate_only","both_wrong")))</x:f>
        <x:v>both_correct</x:v>
      </x:c>
      <x:c r="N108" s="26" t="n">
        <x:v>0</x:v>
      </x:c>
      <x:c r="O108" s="26" t="n">
        <x:v>0</x:v>
      </x:c>
    </x:row>
    <x:row r="109" ht="21" customHeight="1">
      <x:c r="A109" s="14" t="str">
        <x:v>投诉分类中文</x:v>
      </x:c>
      <x:c r="B109" s="14" t="str">
        <x:v>MAECOM00099</x:v>
      </x:c>
      <x:c r="C109" s="17" t="n">
        <x:v>58.0324</x:v>
      </x:c>
      <x:c r="D109" s="17" t="n">
        <x:v>70.9964</x:v>
      </x:c>
      <x:c r="E109" s="17" t="n">
        <x:f>C109-D109</x:f>
        <x:v>-12.963999999999992</x:v>
      </x:c>
      <x:c r="F109" s="20" t="n">
        <x:f>IFERROR(E109/C109,0)</x:f>
        <x:v>-0.2233924497349755</x:v>
      </x:c>
      <x:c r="G109" s="23" t="n">
        <x:v>969</x:v>
      </x:c>
      <x:c r="H109" s="23" t="n">
        <x:v>9</x:v>
      </x:c>
      <x:c r="I109" s="23"/>
      <x:c r="J109" s="20"/>
      <x:c r="K109" s="26" t="n">
        <x:v>1</x:v>
      </x:c>
      <x:c r="L109" s="26" t="n">
        <x:v>1</x:v>
      </x:c>
      <x:c r="M109" s="14" t="str">
        <x:f>IF(AND(K109=1,L109=1),"both_correct",IF(K109=1,"vanilla_only",IF(L109=1,"candidate_only","both_wrong")))</x:f>
        <x:v>both_correct</x:v>
      </x:c>
      <x:c r="N109" s="26" t="n">
        <x:v>0</x:v>
      </x:c>
      <x:c r="O109" s="26" t="n">
        <x:v>0</x:v>
      </x:c>
    </x:row>
    <x:row r="110" ht="21" customHeight="1">
      <x:c r="A110" s="14" t="str">
        <x:v>投诉分类中文</x:v>
      </x:c>
      <x:c r="B110" s="14" t="str">
        <x:v>MAECOM00100</x:v>
      </x:c>
      <x:c r="C110" s="17" t="n">
        <x:v>61.1467</x:v>
      </x:c>
      <x:c r="D110" s="17" t="n">
        <x:v>29.0802</x:v>
      </x:c>
      <x:c r="E110" s="17" t="n">
        <x:f>C110-D110</x:f>
        <x:v>32.066500000000005</x:v>
      </x:c>
      <x:c r="F110" s="20" t="n">
        <x:f>IFERROR(E110/C110,0)</x:f>
        <x:v>0.5244191428155568</x:v>
      </x:c>
      <x:c r="G110" s="23" t="n">
        <x:v>1028</x:v>
      </x:c>
      <x:c r="H110" s="23" t="n">
        <x:v>9</x:v>
      </x:c>
      <x:c r="I110" s="23"/>
      <x:c r="J110" s="20"/>
      <x:c r="K110" s="26" t="n">
        <x:v>1</x:v>
      </x:c>
      <x:c r="L110" s="26" t="n">
        <x:v>1</x:v>
      </x:c>
      <x:c r="M110" s="14" t="str">
        <x:f>IF(AND(K110=1,L110=1),"both_correct",IF(K110=1,"vanilla_only",IF(L110=1,"candidate_only","both_wrong")))</x:f>
        <x:v>both_correct</x:v>
      </x:c>
      <x:c r="N110" s="26" t="n">
        <x:v>0</x:v>
      </x:c>
      <x:c r="O110" s="26" t="n">
        <x:v>0</x:v>
      </x:c>
    </x:row>
    <x:row r="111" ht="21" customHeight="1">
      <x:c r="A111" s="14" t="str">
        <x:v>投诉分类中文</x:v>
      </x:c>
      <x:c r="B111" s="14" t="str">
        <x:v>MAECOM00101</x:v>
      </x:c>
      <x:c r="C111" s="17" t="n">
        <x:v>59.7033</x:v>
      </x:c>
      <x:c r="D111" s="17" t="n">
        <x:v>55.9354</x:v>
      </x:c>
      <x:c r="E111" s="17" t="n">
        <x:f>C111-D111</x:f>
        <x:v>3.7678999999999974</x:v>
      </x:c>
      <x:c r="F111" s="20" t="n">
        <x:f>IFERROR(E111/C111,0)</x:f>
        <x:v>0.06311041433220604</x:v>
      </x:c>
      <x:c r="G111" s="23" t="n">
        <x:v>1013</x:v>
      </x:c>
      <x:c r="H111" s="23" t="n">
        <x:v>10</x:v>
      </x:c>
      <x:c r="I111" s="23"/>
      <x:c r="J111" s="20"/>
      <x:c r="K111" s="26" t="n">
        <x:v>1</x:v>
      </x:c>
      <x:c r="L111" s="26" t="n">
        <x:v>1</x:v>
      </x:c>
      <x:c r="M111" s="14" t="str">
        <x:f>IF(AND(K111=1,L111=1),"both_correct",IF(K111=1,"vanilla_only",IF(L111=1,"candidate_only","both_wrong")))</x:f>
        <x:v>both_correct</x:v>
      </x:c>
      <x:c r="N111" s="26" t="n">
        <x:v>0</x:v>
      </x:c>
      <x:c r="O111" s="26" t="n">
        <x:v>0</x:v>
      </x:c>
    </x:row>
    <x:row r="112" ht="21" customHeight="1">
      <x:c r="A112" s="14" t="str">
        <x:v>投诉分类中文</x:v>
      </x:c>
      <x:c r="B112" s="14" t="str">
        <x:v>MAECOM00102</x:v>
      </x:c>
      <x:c r="C112" s="17" t="n">
        <x:v>75.2049</x:v>
      </x:c>
      <x:c r="D112" s="17" t="n">
        <x:v>60.5945</x:v>
      </x:c>
      <x:c r="E112" s="17" t="n">
        <x:f>C112-D112</x:f>
        <x:v>14.610399999999998</x:v>
      </x:c>
      <x:c r="F112" s="20" t="n">
        <x:f>IFERROR(E112/C112,0)</x:f>
        <x:v>0.1942745751939036</x:v>
      </x:c>
      <x:c r="G112" s="23" t="n">
        <x:v>1253</x:v>
      </x:c>
      <x:c r="H112" s="23" t="n">
        <x:v>9</x:v>
      </x:c>
      <x:c r="I112" s="23"/>
      <x:c r="J112" s="20"/>
      <x:c r="K112" s="26" t="n">
        <x:v>1</x:v>
      </x:c>
      <x:c r="L112" s="26" t="n">
        <x:v>1</x:v>
      </x:c>
      <x:c r="M112" s="14" t="str">
        <x:f>IF(AND(K112=1,L112=1),"both_correct",IF(K112=1,"vanilla_only",IF(L112=1,"candidate_only","both_wrong")))</x:f>
        <x:v>both_correct</x:v>
      </x:c>
      <x:c r="N112" s="26" t="n">
        <x:v>0</x:v>
      </x:c>
      <x:c r="O112" s="26" t="n">
        <x:v>0</x:v>
      </x:c>
    </x:row>
    <x:row r="113" ht="21" customHeight="1">
      <x:c r="A113" s="14" t="str">
        <x:v>投诉分类中文</x:v>
      </x:c>
      <x:c r="B113" s="14" t="str">
        <x:v>MAECOM00103</x:v>
      </x:c>
      <x:c r="C113" s="17" t="n">
        <x:v>46.5229</x:v>
      </x:c>
      <x:c r="D113" s="17" t="n">
        <x:v>30.1206</x:v>
      </x:c>
      <x:c r="E113" s="17" t="n">
        <x:f>C113-D113</x:f>
        <x:v>16.4023</x:v>
      </x:c>
      <x:c r="F113" s="20" t="n">
        <x:f>IFERROR(E113/C113,0)</x:f>
        <x:v>0.3525640061131185</x:v>
      </x:c>
      <x:c r="G113" s="23" t="n">
        <x:v>807</x:v>
      </x:c>
      <x:c r="H113" s="23" t="n">
        <x:v>9</x:v>
      </x:c>
      <x:c r="I113" s="23"/>
      <x:c r="J113" s="20"/>
      <x:c r="K113" s="26" t="n">
        <x:v>1</x:v>
      </x:c>
      <x:c r="L113" s="26" t="n">
        <x:v>1</x:v>
      </x:c>
      <x:c r="M113" s="14" t="str">
        <x:f>IF(AND(K113=1,L113=1),"both_correct",IF(K113=1,"vanilla_only",IF(L113=1,"candidate_only","both_wrong")))</x:f>
        <x:v>both_correct</x:v>
      </x:c>
      <x:c r="N113" s="26" t="n">
        <x:v>0</x:v>
      </x:c>
      <x:c r="O113" s="26" t="n">
        <x:v>0</x:v>
      </x:c>
    </x:row>
    <x:row r="114" ht="21" customHeight="1">
      <x:c r="A114" s="14" t="str">
        <x:v>投诉分类中文</x:v>
      </x:c>
      <x:c r="B114" s="14" t="str">
        <x:v>MAECOM00104</x:v>
      </x:c>
      <x:c r="C114" s="17" t="n">
        <x:v>48.2138</x:v>
      </x:c>
      <x:c r="D114" s="17" t="n">
        <x:v>30.3083</x:v>
      </x:c>
      <x:c r="E114" s="17" t="n">
        <x:f>C114-D114</x:f>
        <x:v>17.9055</x:v>
      </x:c>
      <x:c r="F114" s="20" t="n">
        <x:f>IFERROR(E114/C114,0)</x:f>
        <x:v>0.3713770746134924</x:v>
      </x:c>
      <x:c r="G114" s="23" t="n">
        <x:v>841</x:v>
      </x:c>
      <x:c r="H114" s="23" t="n">
        <x:v>9</x:v>
      </x:c>
      <x:c r="I114" s="23"/>
      <x:c r="J114" s="20"/>
      <x:c r="K114" s="26" t="n">
        <x:v>1</x:v>
      </x:c>
      <x:c r="L114" s="26" t="n">
        <x:v>1</x:v>
      </x:c>
      <x:c r="M114" s="14" t="str">
        <x:f>IF(AND(K114=1,L114=1),"both_correct",IF(K114=1,"vanilla_only",IF(L114=1,"candidate_only","both_wrong")))</x:f>
        <x:v>both_correct</x:v>
      </x:c>
      <x:c r="N114" s="26" t="n">
        <x:v>0</x:v>
      </x:c>
      <x:c r="O114" s="26" t="n">
        <x:v>0</x:v>
      </x:c>
    </x:row>
    <x:row r="115" ht="21" customHeight="1">
      <x:c r="A115" s="14" t="str">
        <x:v>投诉分类中文</x:v>
      </x:c>
      <x:c r="B115" s="14" t="str">
        <x:v>MAECOM00105</x:v>
      </x:c>
      <x:c r="C115" s="17" t="n">
        <x:v>55.9701</x:v>
      </x:c>
      <x:c r="D115" s="17" t="n">
        <x:v>32.3568</x:v>
      </x:c>
      <x:c r="E115" s="17" t="n">
        <x:f>C115-D115</x:f>
        <x:v>23.613300000000002</x:v>
      </x:c>
      <x:c r="F115" s="20" t="n">
        <x:f>IFERROR(E115/C115,0)</x:f>
        <x:v>0.42189133126437156</x:v>
      </x:c>
      <x:c r="G115" s="23" t="n">
        <x:v>968</x:v>
      </x:c>
      <x:c r="H115" s="23" t="n">
        <x:v>9</x:v>
      </x:c>
      <x:c r="I115" s="23"/>
      <x:c r="J115" s="20"/>
      <x:c r="K115" s="26" t="n">
        <x:v>1</x:v>
      </x:c>
      <x:c r="L115" s="26" t="n">
        <x:v>1</x:v>
      </x:c>
      <x:c r="M115" s="14" t="str">
        <x:f>IF(AND(K115=1,L115=1),"both_correct",IF(K115=1,"vanilla_only",IF(L115=1,"candidate_only","both_wrong")))</x:f>
        <x:v>both_correct</x:v>
      </x:c>
      <x:c r="N115" s="26" t="n">
        <x:v>0</x:v>
      </x:c>
      <x:c r="O115" s="26" t="n">
        <x:v>0</x:v>
      </x:c>
    </x:row>
    <x:row r="116" ht="21" customHeight="1">
      <x:c r="A116" s="14" t="str">
        <x:v>投诉分类中文</x:v>
      </x:c>
      <x:c r="B116" s="14" t="str">
        <x:v>MAECOM00106</x:v>
      </x:c>
      <x:c r="C116" s="17" t="n">
        <x:v>43.5422</x:v>
      </x:c>
      <x:c r="D116" s="17" t="n">
        <x:v>29.899</x:v>
      </x:c>
      <x:c r="E116" s="17" t="n">
        <x:f>C116-D116</x:f>
        <x:v>13.6432</x:v>
      </x:c>
      <x:c r="F116" s="20" t="n">
        <x:f>IFERROR(E116/C116,0)</x:f>
        <x:v>0.313332812765547</x:v>
      </x:c>
      <x:c r="G116" s="23" t="n">
        <x:v>761</x:v>
      </x:c>
      <x:c r="H116" s="23" t="n">
        <x:v>10</x:v>
      </x:c>
      <x:c r="I116" s="23"/>
      <x:c r="J116" s="20"/>
      <x:c r="K116" s="26" t="n">
        <x:v>1</x:v>
      </x:c>
      <x:c r="L116" s="26" t="n">
        <x:v>1</x:v>
      </x:c>
      <x:c r="M116" s="14" t="str">
        <x:f>IF(AND(K116=1,L116=1),"both_correct",IF(K116=1,"vanilla_only",IF(L116=1,"candidate_only","both_wrong")))</x:f>
        <x:v>both_correct</x:v>
      </x:c>
      <x:c r="N116" s="26" t="n">
        <x:v>0</x:v>
      </x:c>
      <x:c r="O116" s="26" t="n">
        <x:v>0</x:v>
      </x:c>
    </x:row>
    <x:row r="117" ht="21" customHeight="1">
      <x:c r="A117" s="14" t="str">
        <x:v>投诉分类中文</x:v>
      </x:c>
      <x:c r="B117" s="14" t="str">
        <x:v>MAECOM00107</x:v>
      </x:c>
      <x:c r="C117" s="17" t="n">
        <x:v>43.9611</x:v>
      </x:c>
      <x:c r="D117" s="17" t="n">
        <x:v>29.9682</x:v>
      </x:c>
      <x:c r="E117" s="17" t="n">
        <x:f>C117-D117</x:f>
        <x:v>13.992900000000002</x:v>
      </x:c>
      <x:c r="F117" s="20" t="n">
        <x:f>IFERROR(E117/C117,0)</x:f>
        <x:v>0.3183018623282857</x:v>
      </x:c>
      <x:c r="G117" s="23" t="n">
        <x:v>747</x:v>
      </x:c>
      <x:c r="H117" s="23" t="n">
        <x:v>10</x:v>
      </x:c>
      <x:c r="I117" s="23"/>
      <x:c r="J117" s="20"/>
      <x:c r="K117" s="26" t="n">
        <x:v>1</x:v>
      </x:c>
      <x:c r="L117" s="26" t="n">
        <x:v>1</x:v>
      </x:c>
      <x:c r="M117" s="14" t="str">
        <x:f>IF(AND(K117=1,L117=1),"both_correct",IF(K117=1,"vanilla_only",IF(L117=1,"candidate_only","both_wrong")))</x:f>
        <x:v>both_correct</x:v>
      </x:c>
      <x:c r="N117" s="26" t="n">
        <x:v>0</x:v>
      </x:c>
      <x:c r="O117" s="26" t="n">
        <x:v>0</x:v>
      </x:c>
    </x:row>
    <x:row r="118" ht="21" customHeight="1">
      <x:c r="A118" s="14" t="str">
        <x:v>投诉分类中文</x:v>
      </x:c>
      <x:c r="B118" s="14" t="str">
        <x:v>MAECOM00108</x:v>
      </x:c>
      <x:c r="C118" s="17" t="n">
        <x:v>50.5321</x:v>
      </x:c>
      <x:c r="D118" s="17" t="n">
        <x:v>30.6363</x:v>
      </x:c>
      <x:c r="E118" s="17" t="n">
        <x:f>C118-D118</x:f>
        <x:v>19.8958</x:v>
      </x:c>
      <x:c r="F118" s="20" t="n">
        <x:f>IFERROR(E118/C118,0)</x:f>
        <x:v>0.39372596824592687</x:v>
      </x:c>
      <x:c r="G118" s="23" t="n">
        <x:v>873</x:v>
      </x:c>
      <x:c r="H118" s="23" t="n">
        <x:v>10</x:v>
      </x:c>
      <x:c r="I118" s="23"/>
      <x:c r="J118" s="20"/>
      <x:c r="K118" s="26" t="n">
        <x:v>1</x:v>
      </x:c>
      <x:c r="L118" s="26" t="n">
        <x:v>1</x:v>
      </x:c>
      <x:c r="M118" s="14" t="str">
        <x:f>IF(AND(K118=1,L118=1),"both_correct",IF(K118=1,"vanilla_only",IF(L118=1,"candidate_only","both_wrong")))</x:f>
        <x:v>both_correct</x:v>
      </x:c>
      <x:c r="N118" s="26" t="n">
        <x:v>0</x:v>
      </x:c>
      <x:c r="O118" s="26" t="n">
        <x:v>0</x:v>
      </x:c>
    </x:row>
    <x:row r="119" ht="21" customHeight="1">
      <x:c r="A119" s="14" t="str">
        <x:v>投诉分类中文</x:v>
      </x:c>
      <x:c r="B119" s="14" t="str">
        <x:v>MAECOM00109</x:v>
      </x:c>
      <x:c r="C119" s="17" t="n">
        <x:v>46.0661</x:v>
      </x:c>
      <x:c r="D119" s="17" t="n">
        <x:v>47.0692</x:v>
      </x:c>
      <x:c r="E119" s="17" t="n">
        <x:f>C119-D119</x:f>
        <x:v>-1.0031000000000034</x:v>
      </x:c>
      <x:c r="F119" s="20" t="n">
        <x:f>IFERROR(E119/C119,0)</x:f>
        <x:v>-0.021775231677958487</x:v>
      </x:c>
      <x:c r="G119" s="23" t="n">
        <x:v>740</x:v>
      </x:c>
      <x:c r="H119" s="23" t="n">
        <x:v>10</x:v>
      </x:c>
      <x:c r="I119" s="23"/>
      <x:c r="J119" s="20"/>
      <x:c r="K119" s="26" t="n">
        <x:v>1</x:v>
      </x:c>
      <x:c r="L119" s="26" t="n">
        <x:v>1</x:v>
      </x:c>
      <x:c r="M119" s="14" t="str">
        <x:f>IF(AND(K119=1,L119=1),"both_correct",IF(K119=1,"vanilla_only",IF(L119=1,"candidate_only","both_wrong")))</x:f>
        <x:v>both_correct</x:v>
      </x:c>
      <x:c r="N119" s="26" t="n">
        <x:v>0</x:v>
      </x:c>
      <x:c r="O119" s="26" t="n">
        <x:v>0</x:v>
      </x:c>
    </x:row>
    <x:row r="120" ht="21" customHeight="1">
      <x:c r="A120" s="14" t="str">
        <x:v>投诉分类中文</x:v>
      </x:c>
      <x:c r="B120" s="14" t="str">
        <x:v>MAECOM00110</x:v>
      </x:c>
      <x:c r="C120" s="17" t="n">
        <x:v>47.6601</x:v>
      </x:c>
      <x:c r="D120" s="17" t="n">
        <x:v>28.897</x:v>
      </x:c>
      <x:c r="E120" s="17" t="n">
        <x:f>C120-D120</x:f>
        <x:v>18.7631</x:v>
      </x:c>
      <x:c r="F120" s="20" t="n">
        <x:f>IFERROR(E120/C120,0)</x:f>
        <x:v>0.3936857035549653</x:v>
      </x:c>
      <x:c r="G120" s="23" t="n">
        <x:v>813</x:v>
      </x:c>
      <x:c r="H120" s="23" t="n">
        <x:v>10</x:v>
      </x:c>
      <x:c r="I120" s="23"/>
      <x:c r="J120" s="20"/>
      <x:c r="K120" s="26" t="n">
        <x:v>1</x:v>
      </x:c>
      <x:c r="L120" s="26" t="n">
        <x:v>1</x:v>
      </x:c>
      <x:c r="M120" s="14" t="str">
        <x:f>IF(AND(K120=1,L120=1),"both_correct",IF(K120=1,"vanilla_only",IF(L120=1,"candidate_only","both_wrong")))</x:f>
        <x:v>both_correct</x:v>
      </x:c>
      <x:c r="N120" s="26" t="n">
        <x:v>0</x:v>
      </x:c>
      <x:c r="O120" s="26" t="n">
        <x:v>0</x:v>
      </x:c>
    </x:row>
    <x:row r="121" ht="21" customHeight="1">
      <x:c r="A121" s="14" t="str">
        <x:v>投诉分类中文</x:v>
      </x:c>
      <x:c r="B121" s="14" t="str">
        <x:v>MAECOM00111</x:v>
      </x:c>
      <x:c r="C121" s="17" t="n">
        <x:v>50.877</x:v>
      </x:c>
      <x:c r="D121" s="17" t="n">
        <x:v>30.0828</x:v>
      </x:c>
      <x:c r="E121" s="17" t="n">
        <x:f>C121-D121</x:f>
        <x:v>20.794200000000004</x:v>
      </x:c>
      <x:c r="F121" s="20" t="n">
        <x:f>IFERROR(E121/C121,0)</x:f>
        <x:v>0.40871513650569025</x:v>
      </x:c>
      <x:c r="G121" s="23" t="n">
        <x:v>857</x:v>
      </x:c>
      <x:c r="H121" s="23" t="n">
        <x:v>10</x:v>
      </x:c>
      <x:c r="I121" s="23"/>
      <x:c r="J121" s="20"/>
      <x:c r="K121" s="26" t="n">
        <x:v>1</x:v>
      </x:c>
      <x:c r="L121" s="26" t="n">
        <x:v>1</x:v>
      </x:c>
      <x:c r="M121" s="14" t="str">
        <x:f>IF(AND(K121=1,L121=1),"both_correct",IF(K121=1,"vanilla_only",IF(L121=1,"candidate_only","both_wrong")))</x:f>
        <x:v>both_correct</x:v>
      </x:c>
      <x:c r="N121" s="26" t="n">
        <x:v>0</x:v>
      </x:c>
      <x:c r="O121" s="26" t="n">
        <x:v>0</x:v>
      </x:c>
    </x:row>
    <x:row r="122" ht="21" customHeight="1">
      <x:c r="A122" s="14" t="str">
        <x:v>投诉分类中文</x:v>
      </x:c>
      <x:c r="B122" s="14" t="str">
        <x:v>MAECOM00112</x:v>
      </x:c>
      <x:c r="C122" s="17" t="n">
        <x:v>53.2513</x:v>
      </x:c>
      <x:c r="D122" s="17" t="n">
        <x:v>28.8089</x:v>
      </x:c>
      <x:c r="E122" s="17" t="n">
        <x:f>C122-D122</x:f>
        <x:v>24.4424</x:v>
      </x:c>
      <x:c r="F122" s="20" t="n">
        <x:f>IFERROR(E122/C122,0)</x:f>
        <x:v>0.45900100091453166</x:v>
      </x:c>
      <x:c r="G122" s="23" t="n">
        <x:v>903</x:v>
      </x:c>
      <x:c r="H122" s="23" t="n">
        <x:v>8</x:v>
      </x:c>
      <x:c r="I122" s="23"/>
      <x:c r="J122" s="20"/>
      <x:c r="K122" s="26" t="n">
        <x:v>1</x:v>
      </x:c>
      <x:c r="L122" s="26" t="n">
        <x:v>1</x:v>
      </x:c>
      <x:c r="M122" s="14" t="str">
        <x:f>IF(AND(K122=1,L122=1),"both_correct",IF(K122=1,"vanilla_only",IF(L122=1,"candidate_only","both_wrong")))</x:f>
        <x:v>both_correct</x:v>
      </x:c>
      <x:c r="N122" s="26" t="n">
        <x:v>0</x:v>
      </x:c>
      <x:c r="O122" s="26" t="n">
        <x:v>0</x:v>
      </x:c>
    </x:row>
    <x:row r="123" ht="21" customHeight="1">
      <x:c r="A123" s="14" t="str">
        <x:v>投诉分类中文</x:v>
      </x:c>
      <x:c r="B123" s="14" t="str">
        <x:v>MAECOM00113</x:v>
      </x:c>
      <x:c r="C123" s="17" t="n">
        <x:v>45.4449</x:v>
      </x:c>
      <x:c r="D123" s="17" t="n">
        <x:v>43.2728</x:v>
      </x:c>
      <x:c r="E123" s="17" t="n">
        <x:f>C123-D123</x:f>
        <x:v>2.1721000000000004</x:v>
      </x:c>
      <x:c r="F123" s="20" t="n">
        <x:f>IFERROR(E123/C123,0)</x:f>
        <x:v>0.047796342383853864</x:v>
      </x:c>
      <x:c r="G123" s="23" t="n">
        <x:v>775</x:v>
      </x:c>
      <x:c r="H123" s="23" t="n">
        <x:v>10</x:v>
      </x:c>
      <x:c r="I123" s="23"/>
      <x:c r="J123" s="20"/>
      <x:c r="K123" s="26" t="n">
        <x:v>1</x:v>
      </x:c>
      <x:c r="L123" s="26" t="n">
        <x:v>1</x:v>
      </x:c>
      <x:c r="M123" s="14" t="str">
        <x:f>IF(AND(K123=1,L123=1),"both_correct",IF(K123=1,"vanilla_only",IF(L123=1,"candidate_only","both_wrong")))</x:f>
        <x:v>both_correct</x:v>
      </x:c>
      <x:c r="N123" s="26" t="n">
        <x:v>0</x:v>
      </x:c>
      <x:c r="O123" s="26" t="n">
        <x:v>0</x:v>
      </x:c>
    </x:row>
    <x:row r="124" ht="21" customHeight="1">
      <x:c r="A124" s="14" t="str">
        <x:v>投诉分类中文</x:v>
      </x:c>
      <x:c r="B124" s="14" t="str">
        <x:v>MAECOM00114</x:v>
      </x:c>
      <x:c r="C124" s="17" t="n">
        <x:v>63.5383</x:v>
      </x:c>
      <x:c r="D124" s="17" t="n">
        <x:v>29.0841</x:v>
      </x:c>
      <x:c r="E124" s="17" t="n">
        <x:f>C124-D124</x:f>
        <x:v>34.4542</x:v>
      </x:c>
      <x:c r="F124" s="20" t="n">
        <x:f>IFERROR(E124/C124,0)</x:f>
        <x:v>0.5422587636118688</x:v>
      </x:c>
      <x:c r="G124" s="23" t="n">
        <x:v>1054</x:v>
      </x:c>
      <x:c r="H124" s="23" t="n">
        <x:v>10</x:v>
      </x:c>
      <x:c r="I124" s="23"/>
      <x:c r="J124" s="20"/>
      <x:c r="K124" s="26" t="n">
        <x:v>0</x:v>
      </x:c>
      <x:c r="L124" s="26" t="n">
        <x:v>0</x:v>
      </x:c>
      <x:c r="M124" s="14" t="str">
        <x:f>IF(AND(K124=1,L124=1),"both_correct",IF(K124=1,"vanilla_only",IF(L124=1,"candidate_only","both_wrong")))</x:f>
        <x:v>both_wrong</x:v>
      </x:c>
      <x:c r="N124" s="26" t="n">
        <x:v>0</x:v>
      </x:c>
      <x:c r="O124" s="26" t="n">
        <x:v>0</x:v>
      </x:c>
    </x:row>
    <x:row r="125" ht="21" customHeight="1">
      <x:c r="A125" s="14" t="str">
        <x:v>投诉分类中文</x:v>
      </x:c>
      <x:c r="B125" s="14" t="str">
        <x:v>MAECOM00115</x:v>
      </x:c>
      <x:c r="C125" s="17" t="n">
        <x:v>71.4587</x:v>
      </x:c>
      <x:c r="D125" s="17" t="n">
        <x:v>35.909</x:v>
      </x:c>
      <x:c r="E125" s="17" t="n">
        <x:f>C125-D125</x:f>
        <x:v>35.549699999999994</x:v>
      </x:c>
      <x:c r="F125" s="20" t="n">
        <x:f>IFERROR(E125/C125,0)</x:f>
        <x:v>0.497485960421894</x:v>
      </x:c>
      <x:c r="G125" s="23" t="n">
        <x:v>1080</x:v>
      </x:c>
      <x:c r="H125" s="23" t="n">
        <x:v>10</x:v>
      </x:c>
      <x:c r="I125" s="23"/>
      <x:c r="J125" s="20"/>
      <x:c r="K125" s="26" t="n">
        <x:v>1</x:v>
      </x:c>
      <x:c r="L125" s="26" t="n">
        <x:v>1</x:v>
      </x:c>
      <x:c r="M125" s="14" t="str">
        <x:f>IF(AND(K125=1,L125=1),"both_correct",IF(K125=1,"vanilla_only",IF(L125=1,"candidate_only","both_wrong")))</x:f>
        <x:v>both_correct</x:v>
      </x:c>
      <x:c r="N125" s="26" t="n">
        <x:v>0</x:v>
      </x:c>
      <x:c r="O125" s="26" t="n">
        <x:v>0</x:v>
      </x:c>
    </x:row>
    <x:row r="126" ht="21" customHeight="1">
      <x:c r="A126" s="14" t="str">
        <x:v>投诉分类中文</x:v>
      </x:c>
      <x:c r="B126" s="14" t="str">
        <x:v>MAECOM00116</x:v>
      </x:c>
      <x:c r="C126" s="17" t="n">
        <x:v>46.0427</x:v>
      </x:c>
      <x:c r="D126" s="17" t="n">
        <x:v>28.9167</x:v>
      </x:c>
      <x:c r="E126" s="17" t="n">
        <x:f>C126-D126</x:f>
        <x:v>17.126000000000005</x:v>
      </x:c>
      <x:c r="F126" s="20" t="n">
        <x:f>IFERROR(E126/C126,0)</x:f>
        <x:v>0.3719590727737514</x:v>
      </x:c>
      <x:c r="G126" s="23" t="n">
        <x:v>769</x:v>
      </x:c>
      <x:c r="H126" s="23" t="n">
        <x:v>10</x:v>
      </x:c>
      <x:c r="I126" s="23"/>
      <x:c r="J126" s="20"/>
      <x:c r="K126" s="26" t="n">
        <x:v>0</x:v>
      </x:c>
      <x:c r="L126" s="26" t="n">
        <x:v>0</x:v>
      </x:c>
      <x:c r="M126" s="14" t="str">
        <x:f>IF(AND(K126=1,L126=1),"both_correct",IF(K126=1,"vanilla_only",IF(L126=1,"candidate_only","both_wrong")))</x:f>
        <x:v>both_wrong</x:v>
      </x:c>
      <x:c r="N126" s="26" t="n">
        <x:v>0</x:v>
      </x:c>
      <x:c r="O126" s="26" t="n">
        <x:v>0</x:v>
      </x:c>
    </x:row>
    <x:row r="127" ht="21" customHeight="1">
      <x:c r="A127" s="14" t="str">
        <x:v>投诉分类中文</x:v>
      </x:c>
      <x:c r="B127" s="14" t="str">
        <x:v>MAECOM00117</x:v>
      </x:c>
      <x:c r="C127" s="17" t="n">
        <x:v>65.9261</x:v>
      </x:c>
      <x:c r="D127" s="17" t="n">
        <x:v>33.2569</x:v>
      </x:c>
      <x:c r="E127" s="17" t="n">
        <x:f>C127-D127</x:f>
        <x:v>32.669200000000004</x:v>
      </x:c>
      <x:c r="F127" s="20" t="n">
        <x:f>IFERROR(E127/C127,0)</x:f>
        <x:v>0.49554273648828007</x:v>
      </x:c>
      <x:c r="G127" s="23" t="n">
        <x:v>988</x:v>
      </x:c>
      <x:c r="H127" s="23" t="n">
        <x:v>10</x:v>
      </x:c>
      <x:c r="I127" s="23"/>
      <x:c r="J127" s="20"/>
      <x:c r="K127" s="26" t="n">
        <x:v>0</x:v>
      </x:c>
      <x:c r="L127" s="26" t="n">
        <x:v>0</x:v>
      </x:c>
      <x:c r="M127" s="14" t="str">
        <x:f>IF(AND(K127=1,L127=1),"both_correct",IF(K127=1,"vanilla_only",IF(L127=1,"candidate_only","both_wrong")))</x:f>
        <x:v>both_wrong</x:v>
      </x:c>
      <x:c r="N127" s="26" t="n">
        <x:v>0</x:v>
      </x:c>
      <x:c r="O127" s="26" t="n">
        <x:v>0</x:v>
      </x:c>
    </x:row>
    <x:row r="128" ht="21" customHeight="1">
      <x:c r="A128" s="14" t="str">
        <x:v>投诉分类中文</x:v>
      </x:c>
      <x:c r="B128" s="14" t="str">
        <x:v>MAECOM00118</x:v>
      </x:c>
      <x:c r="C128" s="17" t="n">
        <x:v>68.1362</x:v>
      </x:c>
      <x:c r="D128" s="17" t="n">
        <x:v>47.1819</x:v>
      </x:c>
      <x:c r="E128" s="17" t="n">
        <x:f>C128-D128</x:f>
        <x:v>20.954300000000003</x:v>
      </x:c>
      <x:c r="F128" s="20" t="n">
        <x:f>IFERROR(E128/C128,0)</x:f>
        <x:v>0.3075354950819095</x:v>
      </x:c>
      <x:c r="G128" s="23" t="n">
        <x:v>1101</x:v>
      </x:c>
      <x:c r="H128" s="23" t="n">
        <x:v>15</x:v>
      </x:c>
      <x:c r="I128" s="23"/>
      <x:c r="J128" s="20"/>
      <x:c r="K128" s="26" t="n">
        <x:v>1</x:v>
      </x:c>
      <x:c r="L128" s="26" t="n">
        <x:v>1</x:v>
      </x:c>
      <x:c r="M128" s="14" t="str">
        <x:f>IF(AND(K128=1,L128=1),"both_correct",IF(K128=1,"vanilla_only",IF(L128=1,"candidate_only","both_wrong")))</x:f>
        <x:v>both_correct</x:v>
      </x:c>
      <x:c r="N128" s="26" t="n">
        <x:v>0</x:v>
      </x:c>
      <x:c r="O128" s="26" t="n">
        <x:v>0</x:v>
      </x:c>
    </x:row>
    <x:row r="129" ht="21" customHeight="1">
      <x:c r="A129" s="14" t="str">
        <x:v>投诉分类中文</x:v>
      </x:c>
      <x:c r="B129" s="14" t="str">
        <x:v>MAECOM00119</x:v>
      </x:c>
      <x:c r="C129" s="17" t="n">
        <x:v>48.8118</x:v>
      </x:c>
      <x:c r="D129" s="17" t="n">
        <x:v>73.6416</x:v>
      </x:c>
      <x:c r="E129" s="17" t="n">
        <x:f>C129-D129</x:f>
        <x:v>-24.8298</x:v>
      </x:c>
      <x:c r="F129" s="20" t="n">
        <x:f>IFERROR(E129/C129,0)</x:f>
        <x:v>-0.508684375499367</x:v>
      </x:c>
      <x:c r="G129" s="23" t="n">
        <x:v>818</x:v>
      </x:c>
      <x:c r="H129" s="23" t="n">
        <x:v>4</x:v>
      </x:c>
      <x:c r="I129" s="23"/>
      <x:c r="J129" s="20"/>
      <x:c r="K129" s="26" t="n">
        <x:v>0</x:v>
      </x:c>
      <x:c r="L129" s="26" t="n">
        <x:v>0</x:v>
      </x:c>
      <x:c r="M129" s="14" t="str">
        <x:f>IF(AND(K129=1,L129=1),"both_correct",IF(K129=1,"vanilla_only",IF(L129=1,"candidate_only","both_wrong")))</x:f>
        <x:v>both_wrong</x:v>
      </x:c>
      <x:c r="N129" s="26" t="n">
        <x:v>0</x:v>
      </x:c>
      <x:c r="O129" s="26" t="n">
        <x:v>0</x:v>
      </x:c>
    </x:row>
    <x:row r="130" ht="21" customHeight="1">
      <x:c r="A130" s="14" t="str">
        <x:v>投诉分类中文</x:v>
      </x:c>
      <x:c r="B130" s="14" t="str">
        <x:v>MAECOM00120</x:v>
      </x:c>
      <x:c r="C130" s="17" t="n">
        <x:v>63.9831</x:v>
      </x:c>
      <x:c r="D130" s="17" t="n">
        <x:v>29.4973</x:v>
      </x:c>
      <x:c r="E130" s="17" t="n">
        <x:f>C130-D130</x:f>
        <x:v>34.4858</x:v>
      </x:c>
      <x:c r="F130" s="20" t="n">
        <x:f>IFERROR(E130/C130,0)</x:f>
        <x:v>0.5389829501852833</x:v>
      </x:c>
      <x:c r="G130" s="23" t="n">
        <x:v>1100</x:v>
      </x:c>
      <x:c r="H130" s="23" t="n">
        <x:v>18</x:v>
      </x:c>
      <x:c r="I130" s="23"/>
      <x:c r="J130" s="20"/>
      <x:c r="K130" s="26" t="n">
        <x:v>1</x:v>
      </x:c>
      <x:c r="L130" s="26" t="n">
        <x:v>1</x:v>
      </x:c>
      <x:c r="M130" s="14" t="str">
        <x:f>IF(AND(K130=1,L130=1),"both_correct",IF(K130=1,"vanilla_only",IF(L130=1,"candidate_only","both_wrong")))</x:f>
        <x:v>both_correct</x:v>
      </x:c>
      <x:c r="N130" s="26" t="n">
        <x:v>0</x:v>
      </x:c>
      <x:c r="O130" s="26" t="n">
        <x:v>0</x:v>
      </x:c>
    </x:row>
    <x:row r="131" ht="21" customHeight="1">
      <x:c r="A131" s="14" t="str">
        <x:v>投诉分类中文</x:v>
      </x:c>
      <x:c r="B131" s="14" t="str">
        <x:v>MAECOM00121</x:v>
      </x:c>
      <x:c r="C131" s="17" t="n">
        <x:v>54.1483</x:v>
      </x:c>
      <x:c r="D131" s="17" t="n">
        <x:v>31.5177</x:v>
      </x:c>
      <x:c r="E131" s="17" t="n">
        <x:f>C131-D131</x:f>
        <x:v>22.630599999999998</x:v>
      </x:c>
      <x:c r="F131" s="20" t="n">
        <x:f>IFERROR(E131/C131,0)</x:f>
        <x:v>0.4179374052370988</x:v>
      </x:c>
      <x:c r="G131" s="23" t="n">
        <x:v>891</x:v>
      </x:c>
      <x:c r="H131" s="23" t="n">
        <x:v>12</x:v>
      </x:c>
      <x:c r="I131" s="23"/>
      <x:c r="J131" s="20"/>
      <x:c r="K131" s="26" t="n">
        <x:v>1</x:v>
      </x:c>
      <x:c r="L131" s="26" t="n">
        <x:v>1</x:v>
      </x:c>
      <x:c r="M131" s="14" t="str">
        <x:f>IF(AND(K131=1,L131=1),"both_correct",IF(K131=1,"vanilla_only",IF(L131=1,"candidate_only","both_wrong")))</x:f>
        <x:v>both_correct</x:v>
      </x:c>
      <x:c r="N131" s="26" t="n">
        <x:v>0</x:v>
      </x:c>
      <x:c r="O131" s="26" t="n">
        <x:v>0</x:v>
      </x:c>
    </x:row>
    <x:row r="132" ht="21" customHeight="1">
      <x:c r="A132" s="14" t="str">
        <x:v>投诉分类中文</x:v>
      </x:c>
      <x:c r="B132" s="14" t="str">
        <x:v>MAECOM00122</x:v>
      </x:c>
      <x:c r="C132" s="17" t="n">
        <x:v>53.882</x:v>
      </x:c>
      <x:c r="D132" s="17" t="n">
        <x:v>31.1492</x:v>
      </x:c>
      <x:c r="E132" s="17" t="n">
        <x:f>C132-D132</x:f>
        <x:v>22.732799999999997</x:v>
      </x:c>
      <x:c r="F132" s="20" t="n">
        <x:f>IFERROR(E132/C132,0)</x:f>
        <x:v>0.4218997067666382</x:v>
      </x:c>
      <x:c r="G132" s="23" t="n">
        <x:v>854</x:v>
      </x:c>
      <x:c r="H132" s="23" t="n">
        <x:v>3</x:v>
      </x:c>
      <x:c r="I132" s="23"/>
      <x:c r="J132" s="20"/>
      <x:c r="K132" s="26" t="n">
        <x:v>0</x:v>
      </x:c>
      <x:c r="L132" s="26" t="n">
        <x:v>0</x:v>
      </x:c>
      <x:c r="M132" s="14" t="str">
        <x:f>IF(AND(K132=1,L132=1),"both_correct",IF(K132=1,"vanilla_only",IF(L132=1,"candidate_only","both_wrong")))</x:f>
        <x:v>both_wrong</x:v>
      </x:c>
      <x:c r="N132" s="26" t="n">
        <x:v>0</x:v>
      </x:c>
      <x:c r="O132" s="26" t="n">
        <x:v>0</x:v>
      </x:c>
    </x:row>
    <x:row r="133" ht="21" customHeight="1">
      <x:c r="A133" s="14" t="str">
        <x:v>投诉分类中文</x:v>
      </x:c>
      <x:c r="B133" s="14" t="str">
        <x:v>MAECOM00123</x:v>
      </x:c>
      <x:c r="C133" s="17" t="n">
        <x:v>49.6397</x:v>
      </x:c>
      <x:c r="D133" s="17" t="n">
        <x:v>30.0274</x:v>
      </x:c>
      <x:c r="E133" s="17" t="n">
        <x:f>C133-D133</x:f>
        <x:v>19.612299999999998</x:v>
      </x:c>
      <x:c r="F133" s="20" t="n">
        <x:f>IFERROR(E133/C133,0)</x:f>
        <x:v>0.3950930404494789</x:v>
      </x:c>
      <x:c r="G133" s="23" t="n">
        <x:v>841</x:v>
      </x:c>
      <x:c r="H133" s="23" t="n">
        <x:v>18</x:v>
      </x:c>
      <x:c r="I133" s="23"/>
      <x:c r="J133" s="20"/>
      <x:c r="K133" s="26" t="n">
        <x:v>0</x:v>
      </x:c>
      <x:c r="L133" s="26" t="n">
        <x:v>1</x:v>
      </x:c>
      <x:c r="M133" s="14" t="str">
        <x:f>IF(AND(K133=1,L133=1),"both_correct",IF(K133=1,"vanilla_only",IF(L133=1,"candidate_only","both_wrong")))</x:f>
        <x:v>candidate_only</x:v>
      </x:c>
      <x:c r="N133" s="26" t="n">
        <x:v>0</x:v>
      </x:c>
      <x:c r="O133" s="26" t="n">
        <x:v>0</x:v>
      </x:c>
    </x:row>
    <x:row r="134" ht="21" customHeight="1">
      <x:c r="A134" s="14" t="str">
        <x:v>投诉分类中文</x:v>
      </x:c>
      <x:c r="B134" s="14" t="str">
        <x:v>MAECOM00124</x:v>
      </x:c>
      <x:c r="C134" s="17" t="n">
        <x:v>45.5046</x:v>
      </x:c>
      <x:c r="D134" s="17" t="n">
        <x:v>72.5535</x:v>
      </x:c>
      <x:c r="E134" s="17" t="n">
        <x:f>C134-D134</x:f>
        <x:v>-27.048899999999996</x:v>
      </x:c>
      <x:c r="F134" s="20" t="n">
        <x:f>IFERROR(E134/C134,0)</x:f>
        <x:v>-0.5944212233488482</x:v>
      </x:c>
      <x:c r="G134" s="23" t="n">
        <x:v>678</x:v>
      </x:c>
      <x:c r="H134" s="23" t="n">
        <x:v>4</x:v>
      </x:c>
      <x:c r="I134" s="23"/>
      <x:c r="J134" s="20"/>
      <x:c r="K134" s="26" t="n">
        <x:v>0</x:v>
      </x:c>
      <x:c r="L134" s="26" t="n">
        <x:v>0</x:v>
      </x:c>
      <x:c r="M134" s="14" t="str">
        <x:f>IF(AND(K134=1,L134=1),"both_correct",IF(K134=1,"vanilla_only",IF(L134=1,"candidate_only","both_wrong")))</x:f>
        <x:v>both_wrong</x:v>
      </x:c>
      <x:c r="N134" s="26" t="n">
        <x:v>0</x:v>
      </x:c>
      <x:c r="O134" s="26" t="n">
        <x:v>0</x:v>
      </x:c>
    </x:row>
    <x:row r="135" ht="21" customHeight="1">
      <x:c r="A135" s="14" t="str">
        <x:v>投诉分类中文</x:v>
      </x:c>
      <x:c r="B135" s="14" t="str">
        <x:v>MAECOM00125</x:v>
      </x:c>
      <x:c r="C135" s="17" t="n">
        <x:v>60.8434</x:v>
      </x:c>
      <x:c r="D135" s="17" t="n">
        <x:v>64.9823</x:v>
      </x:c>
      <x:c r="E135" s="17" t="n">
        <x:f>C135-D135</x:f>
        <x:v>-4.1388999999999925</x:v>
      </x:c>
      <x:c r="F135" s="20" t="n">
        <x:f>IFERROR(E135/C135,0)</x:f>
        <x:v>-0.06802545551366282</x:v>
      </x:c>
      <x:c r="G135" s="23" t="n">
        <x:v>832</x:v>
      </x:c>
      <x:c r="H135" s="23" t="n">
        <x:v>4</x:v>
      </x:c>
      <x:c r="I135" s="23"/>
      <x:c r="J135" s="20"/>
      <x:c r="K135" s="26" t="n">
        <x:v>1</x:v>
      </x:c>
      <x:c r="L135" s="26" t="n">
        <x:v>1</x:v>
      </x:c>
      <x:c r="M135" s="14" t="str">
        <x:f>IF(AND(K135=1,L135=1),"both_correct",IF(K135=1,"vanilla_only",IF(L135=1,"candidate_only","both_wrong")))</x:f>
        <x:v>both_correct</x:v>
      </x:c>
      <x:c r="N135" s="26" t="n">
        <x:v>0</x:v>
      </x:c>
      <x:c r="O135" s="26" t="n">
        <x:v>0</x:v>
      </x:c>
    </x:row>
    <x:row r="136" ht="21" customHeight="1">
      <x:c r="A136" s="14" t="str">
        <x:v>投诉分类中文</x:v>
      </x:c>
      <x:c r="B136" s="14" t="str">
        <x:v>MAECOM00126</x:v>
      </x:c>
      <x:c r="C136" s="17" t="n">
        <x:v>70.401</x:v>
      </x:c>
      <x:c r="D136" s="17" t="n">
        <x:v>75.1857</x:v>
      </x:c>
      <x:c r="E136" s="17" t="n">
        <x:f>C136-D136</x:f>
        <x:v>-4.784700000000001</x:v>
      </x:c>
      <x:c r="F136" s="20" t="n">
        <x:f>IFERROR(E136/C136,0)</x:f>
        <x:v>-0.06796352324540846</x:v>
      </x:c>
      <x:c r="G136" s="23" t="n">
        <x:v>976</x:v>
      </x:c>
      <x:c r="H136" s="23" t="n">
        <x:v>6</x:v>
      </x:c>
      <x:c r="I136" s="23"/>
      <x:c r="J136" s="20"/>
      <x:c r="K136" s="26" t="n">
        <x:v>0</x:v>
      </x:c>
      <x:c r="L136" s="26" t="n">
        <x:v>0</x:v>
      </x:c>
      <x:c r="M136" s="14" t="str">
        <x:f>IF(AND(K136=1,L136=1),"both_correct",IF(K136=1,"vanilla_only",IF(L136=1,"candidate_only","both_wrong")))</x:f>
        <x:v>both_wrong</x:v>
      </x:c>
      <x:c r="N136" s="26" t="n">
        <x:v>0</x:v>
      </x:c>
      <x:c r="O136" s="26" t="n">
        <x:v>0</x:v>
      </x:c>
    </x:row>
    <x:row r="137" ht="21" customHeight="1">
      <x:c r="A137" s="14" t="str">
        <x:v>投诉分类中文</x:v>
      </x:c>
      <x:c r="B137" s="14" t="str">
        <x:v>MAECOM00127</x:v>
      </x:c>
      <x:c r="C137" s="17" t="n">
        <x:v>51.57</x:v>
      </x:c>
      <x:c r="D137" s="17" t="n">
        <x:v>33.7717</x:v>
      </x:c>
      <x:c r="E137" s="17" t="n">
        <x:f>C137-D137</x:f>
        <x:v>17.798299999999998</x:v>
      </x:c>
      <x:c r="F137" s="20" t="n">
        <x:f>IFERROR(E137/C137,0)</x:f>
        <x:v>0.3451289509404692</x:v>
      </x:c>
      <x:c r="G137" s="23" t="n">
        <x:v>881</x:v>
      </x:c>
      <x:c r="H137" s="23" t="n">
        <x:v>66</x:v>
      </x:c>
      <x:c r="I137" s="23"/>
      <x:c r="J137" s="20"/>
      <x:c r="K137" s="26" t="n">
        <x:v>1</x:v>
      </x:c>
      <x:c r="L137" s="26" t="n">
        <x:v>1</x:v>
      </x:c>
      <x:c r="M137" s="14" t="str">
        <x:f>IF(AND(K137=1,L137=1),"both_correct",IF(K137=1,"vanilla_only",IF(L137=1,"candidate_only","both_wrong")))</x:f>
        <x:v>both_correct</x:v>
      </x:c>
      <x:c r="N137" s="26" t="n">
        <x:v>0</x:v>
      </x:c>
      <x:c r="O137" s="26" t="n">
        <x:v>0</x:v>
      </x:c>
    </x:row>
    <x:row r="138" ht="21" customHeight="1">
      <x:c r="A138" s="14" t="str">
        <x:v>投诉分类中文</x:v>
      </x:c>
      <x:c r="B138" s="14" t="str">
        <x:v>MAECOM00128</x:v>
      </x:c>
      <x:c r="C138" s="17" t="n">
        <x:v>56.0386</x:v>
      </x:c>
      <x:c r="D138" s="17" t="n">
        <x:v>30.7872</x:v>
      </x:c>
      <x:c r="E138" s="17" t="n">
        <x:f>C138-D138</x:f>
        <x:v>25.251400000000004</x:v>
      </x:c>
      <x:c r="F138" s="20" t="n">
        <x:f>IFERROR(E138/C138,0)</x:f>
        <x:v>0.45060725999578866</x:v>
      </x:c>
      <x:c r="G138" s="23" t="n">
        <x:v>913</x:v>
      </x:c>
      <x:c r="H138" s="23" t="n">
        <x:v>18</x:v>
      </x:c>
      <x:c r="I138" s="23"/>
      <x:c r="J138" s="20"/>
      <x:c r="K138" s="26" t="n">
        <x:v>1</x:v>
      </x:c>
      <x:c r="L138" s="26" t="n">
        <x:v>1</x:v>
      </x:c>
      <x:c r="M138" s="14" t="str">
        <x:f>IF(AND(K138=1,L138=1),"both_correct",IF(K138=1,"vanilla_only",IF(L138=1,"candidate_only","both_wrong")))</x:f>
        <x:v>both_correct</x:v>
      </x:c>
      <x:c r="N138" s="26" t="n">
        <x:v>0</x:v>
      </x:c>
      <x:c r="O138" s="26" t="n">
        <x:v>0</x:v>
      </x:c>
    </x:row>
    <x:row r="139" ht="21" customHeight="1">
      <x:c r="A139" s="14" t="str">
        <x:v>投诉分类中文</x:v>
      </x:c>
      <x:c r="B139" s="14" t="str">
        <x:v>MAECOM00129</x:v>
      </x:c>
      <x:c r="C139" s="17" t="n">
        <x:v>53.9727</x:v>
      </x:c>
      <x:c r="D139" s="17" t="n">
        <x:v>31.5059</x:v>
      </x:c>
      <x:c r="E139" s="17" t="n">
        <x:f>C139-D139</x:f>
        <x:v>22.466800000000003</x:v>
      </x:c>
      <x:c r="F139" s="20" t="n">
        <x:f>IFERROR(E139/C139,0)</x:f>
        <x:v>0.4162622955679446</x:v>
      </x:c>
      <x:c r="G139" s="23" t="n">
        <x:v>923</x:v>
      </x:c>
      <x:c r="H139" s="23" t="n">
        <x:v>22</x:v>
      </x:c>
      <x:c r="I139" s="23"/>
      <x:c r="J139" s="20"/>
      <x:c r="K139" s="26" t="n">
        <x:v>1</x:v>
      </x:c>
      <x:c r="L139" s="26" t="n">
        <x:v>1</x:v>
      </x:c>
      <x:c r="M139" s="14" t="str">
        <x:f>IF(AND(K139=1,L139=1),"both_correct",IF(K139=1,"vanilla_only",IF(L139=1,"candidate_only","both_wrong")))</x:f>
        <x:v>both_correct</x:v>
      </x:c>
      <x:c r="N139" s="26" t="n">
        <x:v>0</x:v>
      </x:c>
      <x:c r="O139" s="26" t="n">
        <x:v>0</x:v>
      </x:c>
    </x:row>
    <x:row r="140" ht="21" customHeight="1">
      <x:c r="A140" s="14" t="str">
        <x:v>投诉分类中文</x:v>
      </x:c>
      <x:c r="B140" s="14" t="str">
        <x:v>MAECOM00130</x:v>
      </x:c>
      <x:c r="C140" s="17" t="n">
        <x:v>46.2579</x:v>
      </x:c>
      <x:c r="D140" s="17" t="n">
        <x:v>29.5105</x:v>
      </x:c>
      <x:c r="E140" s="17" t="n">
        <x:f>C140-D140</x:f>
        <x:v>16.7474</x:v>
      </x:c>
      <x:c r="F140" s="20" t="n">
        <x:f>IFERROR(E140/C140,0)</x:f>
        <x:v>0.36204410489883887</x:v>
      </x:c>
      <x:c r="G140" s="23" t="n">
        <x:v>808</x:v>
      </x:c>
      <x:c r="H140" s="23" t="n">
        <x:v>19</x:v>
      </x:c>
      <x:c r="I140" s="23"/>
      <x:c r="J140" s="20"/>
      <x:c r="K140" s="26" t="n">
        <x:v>1</x:v>
      </x:c>
      <x:c r="L140" s="26" t="n">
        <x:v>1</x:v>
      </x:c>
      <x:c r="M140" s="14" t="str">
        <x:f>IF(AND(K140=1,L140=1),"both_correct",IF(K140=1,"vanilla_only",IF(L140=1,"candidate_only","both_wrong")))</x:f>
        <x:v>both_correct</x:v>
      </x:c>
      <x:c r="N140" s="26" t="n">
        <x:v>0</x:v>
      </x:c>
      <x:c r="O140" s="26" t="n">
        <x:v>0</x:v>
      </x:c>
    </x:row>
    <x:row r="141" ht="21" customHeight="1">
      <x:c r="A141" s="14" t="str">
        <x:v>投诉分类中文</x:v>
      </x:c>
      <x:c r="B141" s="14" t="str">
        <x:v>MAECOM00131</x:v>
      </x:c>
      <x:c r="C141" s="17" t="n">
        <x:v>60.1738</x:v>
      </x:c>
      <x:c r="D141" s="17" t="n">
        <x:v>29.1279</x:v>
      </x:c>
      <x:c r="E141" s="17" t="n">
        <x:f>C141-D141</x:f>
        <x:v>31.0459</x:v>
      </x:c>
      <x:c r="F141" s="20" t="n">
        <x:f>IFERROR(E141/C141,0)</x:f>
        <x:v>0.5159371686680915</x:v>
      </x:c>
      <x:c r="G141" s="23" t="n">
        <x:v>1037</x:v>
      </x:c>
      <x:c r="H141" s="23" t="n">
        <x:v>18</x:v>
      </x:c>
      <x:c r="I141" s="23"/>
      <x:c r="J141" s="20"/>
      <x:c r="K141" s="26" t="n">
        <x:v>1</x:v>
      </x:c>
      <x:c r="L141" s="26" t="n">
        <x:v>1</x:v>
      </x:c>
      <x:c r="M141" s="14" t="str">
        <x:f>IF(AND(K141=1,L141=1),"both_correct",IF(K141=1,"vanilla_only",IF(L141=1,"candidate_only","both_wrong")))</x:f>
        <x:v>both_correct</x:v>
      </x:c>
      <x:c r="N141" s="26" t="n">
        <x:v>0</x:v>
      </x:c>
      <x:c r="O141" s="26" t="n">
        <x:v>0</x:v>
      </x:c>
    </x:row>
    <x:row r="142" ht="21" customHeight="1">
      <x:c r="A142" s="14" t="str">
        <x:v>投诉分类中文</x:v>
      </x:c>
      <x:c r="B142" s="14" t="str">
        <x:v>MAECOM00132</x:v>
      </x:c>
      <x:c r="C142" s="17" t="n">
        <x:v>39.4104</x:v>
      </x:c>
      <x:c r="D142" s="17" t="n">
        <x:v>29.7613</x:v>
      </x:c>
      <x:c r="E142" s="17" t="n">
        <x:f>C142-D142</x:f>
        <x:v>9.649100000000004</x:v>
      </x:c>
      <x:c r="F142" s="20" t="n">
        <x:f>IFERROR(E142/C142,0)</x:f>
        <x:v>0.2448363883644927</x:v>
      </x:c>
      <x:c r="G142" s="23" t="n">
        <x:v>647</x:v>
      </x:c>
      <x:c r="H142" s="23" t="n">
        <x:v>12</x:v>
      </x:c>
      <x:c r="I142" s="23"/>
      <x:c r="J142" s="20"/>
      <x:c r="K142" s="26" t="n">
        <x:v>1</x:v>
      </x:c>
      <x:c r="L142" s="26" t="n">
        <x:v>1</x:v>
      </x:c>
      <x:c r="M142" s="14" t="str">
        <x:f>IF(AND(K142=1,L142=1),"both_correct",IF(K142=1,"vanilla_only",IF(L142=1,"candidate_only","both_wrong")))</x:f>
        <x:v>both_correct</x:v>
      </x:c>
      <x:c r="N142" s="26" t="n">
        <x:v>0</x:v>
      </x:c>
      <x:c r="O142" s="26" t="n">
        <x:v>0</x:v>
      </x:c>
    </x:row>
    <x:row r="143" ht="21" customHeight="1">
      <x:c r="A143" s="14" t="str">
        <x:v>投诉分类中文</x:v>
      </x:c>
      <x:c r="B143" s="14" t="str">
        <x:v>MAECOM00133</x:v>
      </x:c>
      <x:c r="C143" s="17" t="n">
        <x:v>40.6628</x:v>
      </x:c>
      <x:c r="D143" s="17" t="n">
        <x:v>30.8122</x:v>
      </x:c>
      <x:c r="E143" s="17" t="n">
        <x:f>C143-D143</x:f>
        <x:v>9.850599999999996</x:v>
      </x:c>
      <x:c r="F143" s="20" t="n">
        <x:f>IFERROR(E143/C143,0)</x:f>
        <x:v>0.24225090254483206</x:v>
      </x:c>
      <x:c r="G143" s="23" t="n">
        <x:v>678</x:v>
      </x:c>
      <x:c r="H143" s="23" t="n">
        <x:v>15</x:v>
      </x:c>
      <x:c r="I143" s="23"/>
      <x:c r="J143" s="20"/>
      <x:c r="K143" s="26" t="n">
        <x:v>1</x:v>
      </x:c>
      <x:c r="L143" s="26" t="n">
        <x:v>1</x:v>
      </x:c>
      <x:c r="M143" s="14" t="str">
        <x:f>IF(AND(K143=1,L143=1),"both_correct",IF(K143=1,"vanilla_only",IF(L143=1,"candidate_only","both_wrong")))</x:f>
        <x:v>both_correct</x:v>
      </x:c>
      <x:c r="N143" s="26" t="n">
        <x:v>0</x:v>
      </x:c>
      <x:c r="O143" s="26" t="n">
        <x:v>0</x:v>
      </x:c>
    </x:row>
    <x:row r="144" ht="21" customHeight="1">
      <x:c r="A144" s="14" t="str">
        <x:v>投诉分类中文</x:v>
      </x:c>
      <x:c r="B144" s="14" t="str">
        <x:v>MAECOM00134</x:v>
      </x:c>
      <x:c r="C144" s="17" t="n">
        <x:v>53.6464</x:v>
      </x:c>
      <x:c r="D144" s="17" t="n">
        <x:v>31.707</x:v>
      </x:c>
      <x:c r="E144" s="17" t="n">
        <x:f>C144-D144</x:f>
        <x:v>21.9394</x:v>
      </x:c>
      <x:c r="F144" s="20" t="n">
        <x:f>IFERROR(E144/C144,0)</x:f>
        <x:v>0.40896313638939424</x:v>
      </x:c>
      <x:c r="G144" s="23" t="n">
        <x:v>917</x:v>
      </x:c>
      <x:c r="H144" s="23" t="n">
        <x:v>16</x:v>
      </x:c>
      <x:c r="I144" s="23"/>
      <x:c r="J144" s="20"/>
      <x:c r="K144" s="26" t="n">
        <x:v>1</x:v>
      </x:c>
      <x:c r="L144" s="26" t="n">
        <x:v>1</x:v>
      </x:c>
      <x:c r="M144" s="14" t="str">
        <x:f>IF(AND(K144=1,L144=1),"both_correct",IF(K144=1,"vanilla_only",IF(L144=1,"candidate_only","both_wrong")))</x:f>
        <x:v>both_correct</x:v>
      </x:c>
      <x:c r="N144" s="26" t="n">
        <x:v>0</x:v>
      </x:c>
      <x:c r="O144" s="26" t="n">
        <x:v>0</x:v>
      </x:c>
    </x:row>
    <x:row r="145" ht="21" customHeight="1">
      <x:c r="A145" s="14" t="str">
        <x:v>投诉分类中文</x:v>
      </x:c>
      <x:c r="B145" s="14" t="str">
        <x:v>MAECOM00135</x:v>
      </x:c>
      <x:c r="C145" s="17" t="n">
        <x:v>45.2934</x:v>
      </x:c>
      <x:c r="D145" s="17" t="n">
        <x:v>32.5784</x:v>
      </x:c>
      <x:c r="E145" s="17" t="n">
        <x:f>C145-D145</x:f>
        <x:v>12.714999999999996</x:v>
      </x:c>
      <x:c r="F145" s="20" t="n">
        <x:f>IFERROR(E145/C145,0)</x:f>
        <x:v>0.2807252270750263</x:v>
      </x:c>
      <x:c r="G145" s="23" t="n">
        <x:v>822</x:v>
      </x:c>
      <x:c r="H145" s="23" t="n">
        <x:v>16</x:v>
      </x:c>
      <x:c r="I145" s="23"/>
      <x:c r="J145" s="20"/>
      <x:c r="K145" s="26" t="n">
        <x:v>1</x:v>
      </x:c>
      <x:c r="L145" s="26" t="n">
        <x:v>1</x:v>
      </x:c>
      <x:c r="M145" s="14" t="str">
        <x:f>IF(AND(K145=1,L145=1),"both_correct",IF(K145=1,"vanilla_only",IF(L145=1,"candidate_only","both_wrong")))</x:f>
        <x:v>both_correct</x:v>
      </x:c>
      <x:c r="N145" s="26" t="n">
        <x:v>0</x:v>
      </x:c>
      <x:c r="O145" s="26" t="n">
        <x:v>0</x:v>
      </x:c>
    </x:row>
    <x:row r="146" ht="21" customHeight="1">
      <x:c r="A146" s="14" t="str">
        <x:v>投诉分类中文</x:v>
      </x:c>
      <x:c r="B146" s="14" t="str">
        <x:v>MAECOM00136</x:v>
      </x:c>
      <x:c r="C146" s="17" t="n">
        <x:v>53.5567</x:v>
      </x:c>
      <x:c r="D146" s="17" t="n">
        <x:v>31.2126</x:v>
      </x:c>
      <x:c r="E146" s="17" t="n">
        <x:f>C146-D146</x:f>
        <x:v>22.3441</x:v>
      </x:c>
      <x:c r="F146" s="20" t="n">
        <x:f>IFERROR(E146/C146,0)</x:f>
        <x:v>0.4172045701098089</x:v>
      </x:c>
      <x:c r="G146" s="23" t="n">
        <x:v>874</x:v>
      </x:c>
      <x:c r="H146" s="23" t="n">
        <x:v>16</x:v>
      </x:c>
      <x:c r="I146" s="23"/>
      <x:c r="J146" s="20"/>
      <x:c r="K146" s="26" t="n">
        <x:v>1</x:v>
      </x:c>
      <x:c r="L146" s="26" t="n">
        <x:v>1</x:v>
      </x:c>
      <x:c r="M146" s="14" t="str">
        <x:f>IF(AND(K146=1,L146=1),"both_correct",IF(K146=1,"vanilla_only",IF(L146=1,"candidate_only","both_wrong")))</x:f>
        <x:v>both_correct</x:v>
      </x:c>
      <x:c r="N146" s="26" t="n">
        <x:v>0</x:v>
      </x:c>
      <x:c r="O146" s="26" t="n">
        <x:v>0</x:v>
      </x:c>
    </x:row>
    <x:row r="147" ht="21" customHeight="1">
      <x:c r="A147" s="14" t="str">
        <x:v>投诉分类中文</x:v>
      </x:c>
      <x:c r="B147" s="14" t="str">
        <x:v>MAECOM00137</x:v>
      </x:c>
      <x:c r="C147" s="17" t="n">
        <x:v>58.9513</x:v>
      </x:c>
      <x:c r="D147" s="17" t="n">
        <x:v>30.9039</x:v>
      </x:c>
      <x:c r="E147" s="17" t="n">
        <x:f>C147-D147</x:f>
        <x:v>28.047400000000003</x:v>
      </x:c>
      <x:c r="F147" s="20" t="n">
        <x:f>IFERROR(E147/C147,0)</x:f>
        <x:v>0.4757723748246434</x:v>
      </x:c>
      <x:c r="G147" s="23" t="n">
        <x:v>1014</x:v>
      </x:c>
      <x:c r="H147" s="23" t="n">
        <x:v>16</x:v>
      </x:c>
      <x:c r="I147" s="23"/>
      <x:c r="J147" s="20"/>
      <x:c r="K147" s="26" t="n">
        <x:v>1</x:v>
      </x:c>
      <x:c r="L147" s="26" t="n">
        <x:v>1</x:v>
      </x:c>
      <x:c r="M147" s="14" t="str">
        <x:f>IF(AND(K147=1,L147=1),"both_correct",IF(K147=1,"vanilla_only",IF(L147=1,"candidate_only","both_wrong")))</x:f>
        <x:v>both_correct</x:v>
      </x:c>
      <x:c r="N147" s="26" t="n">
        <x:v>0</x:v>
      </x:c>
      <x:c r="O147" s="26" t="n">
        <x:v>0</x:v>
      </x:c>
    </x:row>
    <x:row r="148" ht="21" customHeight="1">
      <x:c r="A148" s="14" t="str">
        <x:v>投诉分类中文</x:v>
      </x:c>
      <x:c r="B148" s="14" t="str">
        <x:v>MAECOM00138</x:v>
      </x:c>
      <x:c r="C148" s="17" t="n">
        <x:v>88.7669</x:v>
      </x:c>
      <x:c r="D148" s="17" t="n">
        <x:v>30.4453</x:v>
      </x:c>
      <x:c r="E148" s="17" t="n">
        <x:f>C148-D148</x:f>
        <x:v>58.321600000000004</x:v>
      </x:c>
      <x:c r="F148" s="20" t="n">
        <x:f>IFERROR(E148/C148,0)</x:f>
        <x:v>0.657019677379744</x:v>
      </x:c>
      <x:c r="G148" s="23" t="n">
        <x:v>1461</x:v>
      </x:c>
      <x:c r="H148" s="23" t="n">
        <x:v>16</x:v>
      </x:c>
      <x:c r="I148" s="23"/>
      <x:c r="J148" s="20"/>
      <x:c r="K148" s="26" t="n">
        <x:v>0</x:v>
      </x:c>
      <x:c r="L148" s="26" t="n">
        <x:v>0</x:v>
      </x:c>
      <x:c r="M148" s="14" t="str">
        <x:f>IF(AND(K148=1,L148=1),"both_correct",IF(K148=1,"vanilla_only",IF(L148=1,"candidate_only","both_wrong")))</x:f>
        <x:v>both_wrong</x:v>
      </x:c>
      <x:c r="N148" s="26" t="n">
        <x:v>0</x:v>
      </x:c>
      <x:c r="O148" s="26" t="n">
        <x:v>0</x:v>
      </x:c>
    </x:row>
    <x:row r="149" ht="21" customHeight="1">
      <x:c r="A149" s="14" t="str">
        <x:v>投诉分类中文</x:v>
      </x:c>
      <x:c r="B149" s="14" t="str">
        <x:v>MAECOM00139</x:v>
      </x:c>
      <x:c r="C149" s="17" t="n">
        <x:v>104.2238</x:v>
      </x:c>
      <x:c r="D149" s="17" t="n">
        <x:v>32.102</x:v>
      </x:c>
      <x:c r="E149" s="17" t="n">
        <x:f>C149-D149</x:f>
        <x:v>72.12180000000001</x:v>
      </x:c>
      <x:c r="F149" s="20" t="n">
        <x:f>IFERROR(E149/C149,0)</x:f>
        <x:v>0.6919897374687932</x:v>
      </x:c>
      <x:c r="G149" s="23" t="n">
        <x:v>1612</x:v>
      </x:c>
      <x:c r="H149" s="23" t="n">
        <x:v>15</x:v>
      </x:c>
      <x:c r="I149" s="23"/>
      <x:c r="J149" s="20"/>
      <x:c r="K149" s="26" t="n">
        <x:v>0</x:v>
      </x:c>
      <x:c r="L149" s="26" t="n">
        <x:v>0</x:v>
      </x:c>
      <x:c r="M149" s="14" t="str">
        <x:f>IF(AND(K149=1,L149=1),"both_correct",IF(K149=1,"vanilla_only",IF(L149=1,"candidate_only","both_wrong")))</x:f>
        <x:v>both_wrong</x:v>
      </x:c>
      <x:c r="N149" s="26" t="n">
        <x:v>0</x:v>
      </x:c>
      <x:c r="O149" s="26" t="n">
        <x:v>0</x:v>
      </x:c>
    </x:row>
    <x:row r="150" ht="21" customHeight="1">
      <x:c r="A150" s="14" t="str">
        <x:v>投诉分类中文</x:v>
      </x:c>
      <x:c r="B150" s="14" t="str">
        <x:v>MAECOM00140</x:v>
      </x:c>
      <x:c r="C150" s="17" t="n">
        <x:v>44.345</x:v>
      </x:c>
      <x:c r="D150" s="17" t="n">
        <x:v>28.4598</x:v>
      </x:c>
      <x:c r="E150" s="17" t="n">
        <x:f>C150-D150</x:f>
        <x:v>15.885199999999998</x:v>
      </x:c>
      <x:c r="F150" s="20" t="n">
        <x:f>IFERROR(E150/C150,0)</x:f>
        <x:v>0.35821851392490694</x:v>
      </x:c>
      <x:c r="G150" s="23" t="n">
        <x:v>797</x:v>
      </x:c>
      <x:c r="H150" s="23" t="n">
        <x:v>16</x:v>
      </x:c>
      <x:c r="I150" s="23"/>
      <x:c r="J150" s="20"/>
      <x:c r="K150" s="26" t="n">
        <x:v>1</x:v>
      </x:c>
      <x:c r="L150" s="26" t="n">
        <x:v>1</x:v>
      </x:c>
      <x:c r="M150" s="14" t="str">
        <x:f>IF(AND(K150=1,L150=1),"both_correct",IF(K150=1,"vanilla_only",IF(L150=1,"candidate_only","both_wrong")))</x:f>
        <x:v>both_correct</x:v>
      </x:c>
      <x:c r="N150" s="26" t="n">
        <x:v>0</x:v>
      </x:c>
      <x:c r="O150" s="26" t="n">
        <x:v>0</x:v>
      </x:c>
    </x:row>
    <x:row r="151" ht="21" customHeight="1">
      <x:c r="A151" s="14" t="str">
        <x:v>投诉分类中文</x:v>
      </x:c>
      <x:c r="B151" s="14" t="str">
        <x:v>MAECOM00141</x:v>
      </x:c>
      <x:c r="C151" s="17" t="n">
        <x:v>51.3331</x:v>
      </x:c>
      <x:c r="D151" s="17" t="n">
        <x:v>27.9531</x:v>
      </x:c>
      <x:c r="E151" s="17" t="n">
        <x:f>C151-D151</x:f>
        <x:v>23.380000000000003</x:v>
      </x:c>
      <x:c r="F151" s="20" t="n">
        <x:f>IFERROR(E151/C151,0)</x:f>
        <x:v>0.4554566157118896</x:v>
      </x:c>
      <x:c r="G151" s="23" t="n">
        <x:v>925</x:v>
      </x:c>
      <x:c r="H151" s="23" t="n">
        <x:v>16</x:v>
      </x:c>
      <x:c r="I151" s="23"/>
      <x:c r="J151" s="20"/>
      <x:c r="K151" s="26" t="n">
        <x:v>1</x:v>
      </x:c>
      <x:c r="L151" s="26" t="n">
        <x:v>1</x:v>
      </x:c>
      <x:c r="M151" s="14" t="str">
        <x:f>IF(AND(K151=1,L151=1),"both_correct",IF(K151=1,"vanilla_only",IF(L151=1,"candidate_only","both_wrong")))</x:f>
        <x:v>both_correct</x:v>
      </x:c>
      <x:c r="N151" s="26" t="n">
        <x:v>0</x:v>
      </x:c>
      <x:c r="O151" s="26" t="n">
        <x:v>0</x:v>
      </x:c>
    </x:row>
    <x:row r="152" ht="21" customHeight="1">
      <x:c r="A152" s="14" t="str">
        <x:v>投诉分类中文</x:v>
      </x:c>
      <x:c r="B152" s="14" t="str">
        <x:v>MAECOM00142</x:v>
      </x:c>
      <x:c r="C152" s="17" t="n">
        <x:v>52.2331</x:v>
      </x:c>
      <x:c r="D152" s="17" t="n">
        <x:v>29.4135</x:v>
      </x:c>
      <x:c r="E152" s="17" t="n">
        <x:f>C152-D152</x:f>
        <x:v>22.8196</x:v>
      </x:c>
      <x:c r="F152" s="20" t="n">
        <x:f>IFERROR(E152/C152,0)</x:f>
        <x:v>0.4368800626422709</x:v>
      </x:c>
      <x:c r="G152" s="23" t="n">
        <x:v>845</x:v>
      </x:c>
      <x:c r="H152" s="23" t="n">
        <x:v>16</x:v>
      </x:c>
      <x:c r="I152" s="23"/>
      <x:c r="J152" s="20"/>
      <x:c r="K152" s="26" t="n">
        <x:v>1</x:v>
      </x:c>
      <x:c r="L152" s="26" t="n">
        <x:v>1</x:v>
      </x:c>
      <x:c r="M152" s="14" t="str">
        <x:f>IF(AND(K152=1,L152=1),"both_correct",IF(K152=1,"vanilla_only",IF(L152=1,"candidate_only","both_wrong")))</x:f>
        <x:v>both_correct</x:v>
      </x:c>
      <x:c r="N152" s="26" t="n">
        <x:v>0</x:v>
      </x:c>
      <x:c r="O152" s="26" t="n">
        <x:v>0</x:v>
      </x:c>
    </x:row>
    <x:row r="153" ht="21" customHeight="1">
      <x:c r="A153" s="14" t="str">
        <x:v>投诉分类中文</x:v>
      </x:c>
      <x:c r="B153" s="14" t="str">
        <x:v>MAECOM00143</x:v>
      </x:c>
      <x:c r="C153" s="17" t="n">
        <x:v>60.3306</x:v>
      </x:c>
      <x:c r="D153" s="17" t="n">
        <x:v>31.7526</x:v>
      </x:c>
      <x:c r="E153" s="17" t="n">
        <x:f>C153-D153</x:f>
        <x:v>28.577999999999996</x:v>
      </x:c>
      <x:c r="F153" s="20" t="n">
        <x:f>IFERROR(E153/C153,0)</x:f>
        <x:v>0.47368996827480575</x:v>
      </x:c>
      <x:c r="G153" s="23" t="n">
        <x:v>950</x:v>
      </x:c>
      <x:c r="H153" s="23" t="n">
        <x:v>15</x:v>
      </x:c>
      <x:c r="I153" s="23"/>
      <x:c r="J153" s="20"/>
      <x:c r="K153" s="26" t="n">
        <x:v>0</x:v>
      </x:c>
      <x:c r="L153" s="26" t="n">
        <x:v>0</x:v>
      </x:c>
      <x:c r="M153" s="14" t="str">
        <x:f>IF(AND(K153=1,L153=1),"both_correct",IF(K153=1,"vanilla_only",IF(L153=1,"candidate_only","both_wrong")))</x:f>
        <x:v>both_wrong</x:v>
      </x:c>
      <x:c r="N153" s="26" t="n">
        <x:v>0</x:v>
      </x:c>
      <x:c r="O153" s="26" t="n">
        <x:v>0</x:v>
      </x:c>
    </x:row>
    <x:row r="154" ht="21" customHeight="1">
      <x:c r="A154" s="14" t="str">
        <x:v>投诉分类中文</x:v>
      </x:c>
      <x:c r="B154" s="14" t="str">
        <x:v>MAECOM00144</x:v>
      </x:c>
      <x:c r="C154" s="17" t="n">
        <x:v>58.4165</x:v>
      </x:c>
      <x:c r="D154" s="17" t="n">
        <x:v>32.2476</x:v>
      </x:c>
      <x:c r="E154" s="17" t="n">
        <x:f>C154-D154</x:f>
        <x:v>26.1689</x:v>
      </x:c>
      <x:c r="F154" s="20" t="n">
        <x:f>IFERROR(E154/C154,0)</x:f>
        <x:v>0.44797103558070067</x:v>
      </x:c>
      <x:c r="G154" s="23" t="n">
        <x:v>861</x:v>
      </x:c>
      <x:c r="H154" s="23" t="n">
        <x:v>16</x:v>
      </x:c>
      <x:c r="I154" s="23"/>
      <x:c r="J154" s="20"/>
      <x:c r="K154" s="26" t="n">
        <x:v>0</x:v>
      </x:c>
      <x:c r="L154" s="26" t="n">
        <x:v>0</x:v>
      </x:c>
      <x:c r="M154" s="14" t="str">
        <x:f>IF(AND(K154=1,L154=1),"both_correct",IF(K154=1,"vanilla_only",IF(L154=1,"candidate_only","both_wrong")))</x:f>
        <x:v>both_wrong</x:v>
      </x:c>
      <x:c r="N154" s="26" t="n">
        <x:v>0</x:v>
      </x:c>
      <x:c r="O154" s="26" t="n">
        <x:v>0</x:v>
      </x:c>
    </x:row>
    <x:row r="155" ht="21" customHeight="1">
      <x:c r="A155" s="14" t="str">
        <x:v>投诉分类中文</x:v>
      </x:c>
      <x:c r="B155" s="14" t="str">
        <x:v>MAECOM00145</x:v>
      </x:c>
      <x:c r="C155" s="17" t="n">
        <x:v>81.6212</x:v>
      </x:c>
      <x:c r="D155" s="17" t="n">
        <x:v>30.7357</x:v>
      </x:c>
      <x:c r="E155" s="17" t="n">
        <x:f>C155-D155</x:f>
        <x:v>50.8855</x:v>
      </x:c>
      <x:c r="F155" s="20" t="n">
        <x:f>IFERROR(E155/C155,0)</x:f>
        <x:v>0.6234348429084601</x:v>
      </x:c>
      <x:c r="G155" s="23" t="n">
        <x:v>1200</x:v>
      </x:c>
      <x:c r="H155" s="23" t="n">
        <x:v>16</x:v>
      </x:c>
      <x:c r="I155" s="23"/>
      <x:c r="J155" s="20"/>
      <x:c r="K155" s="26" t="n">
        <x:v>1</x:v>
      </x:c>
      <x:c r="L155" s="26" t="n">
        <x:v>1</x:v>
      </x:c>
      <x:c r="M155" s="14" t="str">
        <x:f>IF(AND(K155=1,L155=1),"both_correct",IF(K155=1,"vanilla_only",IF(L155=1,"candidate_only","both_wrong")))</x:f>
        <x:v>both_correct</x:v>
      </x:c>
      <x:c r="N155" s="26" t="n">
        <x:v>0</x:v>
      </x:c>
      <x:c r="O155" s="26" t="n">
        <x:v>0</x:v>
      </x:c>
    </x:row>
    <x:row r="156" ht="21" customHeight="1">
      <x:c r="A156" s="14" t="str">
        <x:v>投诉分类中文</x:v>
      </x:c>
      <x:c r="B156" s="14" t="str">
        <x:v>MAECOM00146</x:v>
      </x:c>
      <x:c r="C156" s="17" t="n">
        <x:v>47.3655</x:v>
      </x:c>
      <x:c r="D156" s="17" t="n">
        <x:v>30.8685</x:v>
      </x:c>
      <x:c r="E156" s="17" t="n">
        <x:f>C156-D156</x:f>
        <x:v>16.496999999999996</x:v>
      </x:c>
      <x:c r="F156" s="20" t="n">
        <x:f>IFERROR(E156/C156,0)</x:f>
        <x:v>0.348291477974475</x:v>
      </x:c>
      <x:c r="G156" s="23" t="n">
        <x:v>809</x:v>
      </x:c>
      <x:c r="H156" s="23" t="n">
        <x:v>16</x:v>
      </x:c>
      <x:c r="I156" s="23"/>
      <x:c r="J156" s="20"/>
      <x:c r="K156" s="26" t="n">
        <x:v>1</x:v>
      </x:c>
      <x:c r="L156" s="26" t="n">
        <x:v>1</x:v>
      </x:c>
      <x:c r="M156" s="14" t="str">
        <x:f>IF(AND(K156=1,L156=1),"both_correct",IF(K156=1,"vanilla_only",IF(L156=1,"candidate_only","both_wrong")))</x:f>
        <x:v>both_correct</x:v>
      </x:c>
      <x:c r="N156" s="26" t="n">
        <x:v>0</x:v>
      </x:c>
      <x:c r="O156" s="26" t="n">
        <x:v>0</x:v>
      </x:c>
    </x:row>
    <x:row r="157" ht="21" customHeight="1">
      <x:c r="A157" s="14" t="str">
        <x:v>投诉分类中文</x:v>
      </x:c>
      <x:c r="B157" s="14" t="str">
        <x:v>MAECOM00147</x:v>
      </x:c>
      <x:c r="C157" s="17" t="n">
        <x:v>50.8099</x:v>
      </x:c>
      <x:c r="D157" s="17" t="n">
        <x:v>32.8147</x:v>
      </x:c>
      <x:c r="E157" s="17" t="n">
        <x:f>C157-D157</x:f>
        <x:v>17.995199999999997</x:v>
      </x:c>
      <x:c r="F157" s="20" t="n">
        <x:f>IFERROR(E157/C157,0)</x:f>
        <x:v>0.35416719969927113</x:v>
      </x:c>
      <x:c r="G157" s="23" t="n">
        <x:v>844</x:v>
      </x:c>
      <x:c r="H157" s="23" t="n">
        <x:v>16</x:v>
      </x:c>
      <x:c r="I157" s="23"/>
      <x:c r="J157" s="20"/>
      <x:c r="K157" s="26" t="n">
        <x:v>1</x:v>
      </x:c>
      <x:c r="L157" s="26" t="n">
        <x:v>1</x:v>
      </x:c>
      <x:c r="M157" s="14" t="str">
        <x:f>IF(AND(K157=1,L157=1),"both_correct",IF(K157=1,"vanilla_only",IF(L157=1,"candidate_only","both_wrong")))</x:f>
        <x:v>both_correct</x:v>
      </x:c>
      <x:c r="N157" s="26" t="n">
        <x:v>0</x:v>
      </x:c>
      <x:c r="O157" s="26" t="n">
        <x:v>0</x:v>
      </x:c>
    </x:row>
    <x:row r="158" ht="21" customHeight="1">
      <x:c r="A158" s="14" t="str">
        <x:v>投诉分类中文</x:v>
      </x:c>
      <x:c r="B158" s="14" t="str">
        <x:v>MAECOM00148</x:v>
      </x:c>
      <x:c r="C158" s="17" t="n">
        <x:v>70.236</x:v>
      </x:c>
      <x:c r="D158" s="17" t="n">
        <x:v>32.2923</x:v>
      </x:c>
      <x:c r="E158" s="17" t="n">
        <x:f>C158-D158</x:f>
        <x:v>37.94370000000001</x:v>
      </x:c>
      <x:c r="F158" s="20" t="n">
        <x:f>IFERROR(E158/C158,0)</x:f>
        <x:v>0.5402315052110029</x:v>
      </x:c>
      <x:c r="G158" s="23" t="n">
        <x:v>1095</x:v>
      </x:c>
      <x:c r="H158" s="23" t="n">
        <x:v>16</x:v>
      </x:c>
      <x:c r="I158" s="23"/>
      <x:c r="J158" s="20"/>
      <x:c r="K158" s="26" t="n">
        <x:v>1</x:v>
      </x:c>
      <x:c r="L158" s="26" t="n">
        <x:v>1</x:v>
      </x:c>
      <x:c r="M158" s="14" t="str">
        <x:f>IF(AND(K158=1,L158=1),"both_correct",IF(K158=1,"vanilla_only",IF(L158=1,"candidate_only","both_wrong")))</x:f>
        <x:v>both_correct</x:v>
      </x:c>
      <x:c r="N158" s="26" t="n">
        <x:v>0</x:v>
      </x:c>
      <x:c r="O158" s="26" t="n">
        <x:v>0</x:v>
      </x:c>
    </x:row>
    <x:row r="159" ht="21" customHeight="1">
      <x:c r="A159" s="14" t="str">
        <x:v>投诉分类中文</x:v>
      </x:c>
      <x:c r="B159" s="14" t="str">
        <x:v>MAECOM00149</x:v>
      </x:c>
      <x:c r="C159" s="17" t="n">
        <x:v>56.9926</x:v>
      </x:c>
      <x:c r="D159" s="17" t="n">
        <x:v>31.7299</x:v>
      </x:c>
      <x:c r="E159" s="17" t="n">
        <x:f>C159-D159</x:f>
        <x:v>25.262700000000002</x:v>
      </x:c>
      <x:c r="F159" s="20" t="n">
        <x:f>IFERROR(E159/C159,0)</x:f>
        <x:v>0.44326280955773206</x:v>
      </x:c>
      <x:c r="G159" s="23" t="n">
        <x:v>908</x:v>
      </x:c>
      <x:c r="H159" s="23" t="n">
        <x:v>16</x:v>
      </x:c>
      <x:c r="I159" s="23"/>
      <x:c r="J159" s="20"/>
      <x:c r="K159" s="26" t="n">
        <x:v>1</x:v>
      </x:c>
      <x:c r="L159" s="26" t="n">
        <x:v>1</x:v>
      </x:c>
      <x:c r="M159" s="14" t="str">
        <x:f>IF(AND(K159=1,L159=1),"both_correct",IF(K159=1,"vanilla_only",IF(L159=1,"candidate_only","both_wrong")))</x:f>
        <x:v>both_correct</x:v>
      </x:c>
      <x:c r="N159" s="26" t="n">
        <x:v>0</x:v>
      </x:c>
      <x:c r="O159" s="26" t="n">
        <x:v>0</x:v>
      </x:c>
    </x:row>
    <x:row r="160" ht="21" customHeight="1">
      <x:c r="A160" s="14" t="str">
        <x:v>投诉分类中文</x:v>
      </x:c>
      <x:c r="B160" s="14" t="str">
        <x:v>MAECOM00150</x:v>
      </x:c>
      <x:c r="C160" s="17" t="n">
        <x:v>53.0309</x:v>
      </x:c>
      <x:c r="D160" s="17" t="n">
        <x:v>32.0807</x:v>
      </x:c>
      <x:c r="E160" s="17" t="n">
        <x:f>C160-D160</x:f>
        <x:v>20.950200000000002</x:v>
      </x:c>
      <x:c r="F160" s="20" t="n">
        <x:f>IFERROR(E160/C160,0)</x:f>
        <x:v>0.3950564670786278</x:v>
      </x:c>
      <x:c r="G160" s="23" t="n">
        <x:v>884</x:v>
      </x:c>
      <x:c r="H160" s="23" t="n">
        <x:v>17</x:v>
      </x:c>
      <x:c r="I160" s="23"/>
      <x:c r="J160" s="20"/>
      <x:c r="K160" s="26" t="n">
        <x:v>1</x:v>
      </x:c>
      <x:c r="L160" s="26" t="n">
        <x:v>1</x:v>
      </x:c>
      <x:c r="M160" s="14" t="str">
        <x:f>IF(AND(K160=1,L160=1),"both_correct",IF(K160=1,"vanilla_only",IF(L160=1,"candidate_only","both_wrong")))</x:f>
        <x:v>both_correct</x:v>
      </x:c>
      <x:c r="N160" s="26" t="n">
        <x:v>0</x:v>
      </x:c>
      <x:c r="O160" s="26" t="n">
        <x:v>0</x:v>
      </x:c>
    </x:row>
    <x:row r="161" ht="21" customHeight="1">
      <x:c r="A161" s="14" t="str">
        <x:v>投诉分类中文</x:v>
      </x:c>
      <x:c r="B161" s="14" t="str">
        <x:v>MAECOM00151</x:v>
      </x:c>
      <x:c r="C161" s="17" t="n">
        <x:v>61.3275</x:v>
      </x:c>
      <x:c r="D161" s="17" t="n">
        <x:v>30.2133</x:v>
      </x:c>
      <x:c r="E161" s="17" t="n">
        <x:f>C161-D161</x:f>
        <x:v>31.1142</x:v>
      </x:c>
      <x:c r="F161" s="20" t="n">
        <x:f>IFERROR(E161/C161,0)</x:f>
        <x:v>0.5073449920508744</x:v>
      </x:c>
      <x:c r="G161" s="23" t="n">
        <x:v>1059</x:v>
      </x:c>
      <x:c r="H161" s="23" t="n">
        <x:v>16</x:v>
      </x:c>
      <x:c r="I161" s="23"/>
      <x:c r="J161" s="20"/>
      <x:c r="K161" s="26" t="n">
        <x:v>1</x:v>
      </x:c>
      <x:c r="L161" s="26" t="n">
        <x:v>1</x:v>
      </x:c>
      <x:c r="M161" s="14" t="str">
        <x:f>IF(AND(K161=1,L161=1),"both_correct",IF(K161=1,"vanilla_only",IF(L161=1,"candidate_only","both_wrong")))</x:f>
        <x:v>both_correct</x:v>
      </x:c>
      <x:c r="N161" s="26" t="n">
        <x:v>0</x:v>
      </x:c>
      <x:c r="O161" s="26" t="n">
        <x:v>0</x:v>
      </x:c>
    </x:row>
    <x:row r="162" ht="21" customHeight="1">
      <x:c r="A162" s="14" t="str">
        <x:v>投诉分类中文</x:v>
      </x:c>
      <x:c r="B162" s="14" t="str">
        <x:v>MAECOM00152</x:v>
      </x:c>
      <x:c r="C162" s="17" t="n">
        <x:v>47.8863</x:v>
      </x:c>
      <x:c r="D162" s="17" t="n">
        <x:v>30.2175</x:v>
      </x:c>
      <x:c r="E162" s="17" t="n">
        <x:f>C162-D162</x:f>
        <x:v>17.668799999999997</x:v>
      </x:c>
      <x:c r="F162" s="20" t="n">
        <x:f>IFERROR(E162/C162,0)</x:f>
        <x:v>0.3689740071795064</x:v>
      </x:c>
      <x:c r="G162" s="23" t="n">
        <x:v>814</x:v>
      </x:c>
      <x:c r="H162" s="23" t="n">
        <x:v>16</x:v>
      </x:c>
      <x:c r="I162" s="23"/>
      <x:c r="J162" s="20"/>
      <x:c r="K162" s="26" t="n">
        <x:v>1</x:v>
      </x:c>
      <x:c r="L162" s="26" t="n">
        <x:v>1</x:v>
      </x:c>
      <x:c r="M162" s="14" t="str">
        <x:f>IF(AND(K162=1,L162=1),"both_correct",IF(K162=1,"vanilla_only",IF(L162=1,"candidate_only","both_wrong")))</x:f>
        <x:v>both_correct</x:v>
      </x:c>
      <x:c r="N162" s="26" t="n">
        <x:v>0</x:v>
      </x:c>
      <x:c r="O162" s="26" t="n">
        <x:v>0</x:v>
      </x:c>
    </x:row>
    <x:row r="163" ht="21" customHeight="1">
      <x:c r="A163" s="14" t="str">
        <x:v>投诉分类中文</x:v>
      </x:c>
      <x:c r="B163" s="14" t="str">
        <x:v>MAECOM00153</x:v>
      </x:c>
      <x:c r="C163" s="17" t="n">
        <x:v>47.4809</x:v>
      </x:c>
      <x:c r="D163" s="17" t="n">
        <x:v>28.583</x:v>
      </x:c>
      <x:c r="E163" s="17" t="n">
        <x:f>C163-D163</x:f>
        <x:v>18.8979</x:v>
      </x:c>
      <x:c r="F163" s="20" t="n">
        <x:f>IFERROR(E163/C163,0)</x:f>
        <x:v>0.3980105684601598</x:v>
      </x:c>
      <x:c r="G163" s="23" t="n">
        <x:v>831</x:v>
      </x:c>
      <x:c r="H163" s="23" t="n">
        <x:v>17</x:v>
      </x:c>
      <x:c r="I163" s="23"/>
      <x:c r="J163" s="20"/>
      <x:c r="K163" s="26" t="n">
        <x:v>1</x:v>
      </x:c>
      <x:c r="L163" s="26" t="n">
        <x:v>1</x:v>
      </x:c>
      <x:c r="M163" s="14" t="str">
        <x:f>IF(AND(K163=1,L163=1),"both_correct",IF(K163=1,"vanilla_only",IF(L163=1,"candidate_only","both_wrong")))</x:f>
        <x:v>both_correct</x:v>
      </x:c>
      <x:c r="N163" s="26" t="n">
        <x:v>0</x:v>
      </x:c>
      <x:c r="O163" s="26" t="n">
        <x:v>0</x:v>
      </x:c>
    </x:row>
    <x:row r="164" ht="21" customHeight="1">
      <x:c r="A164" s="14" t="str">
        <x:v>投诉分类中文</x:v>
      </x:c>
      <x:c r="B164" s="14" t="str">
        <x:v>MAECOM00154</x:v>
      </x:c>
      <x:c r="C164" s="17" t="n">
        <x:v>63.4577</x:v>
      </x:c>
      <x:c r="D164" s="17" t="n">
        <x:v>29.2495</x:v>
      </x:c>
      <x:c r="E164" s="17" t="n">
        <x:f>C164-D164</x:f>
        <x:v>34.208200000000005</x:v>
      </x:c>
      <x:c r="F164" s="20" t="n">
        <x:f>IFERROR(E164/C164,0)</x:f>
        <x:v>0.5390709086525355</x:v>
      </x:c>
      <x:c r="G164" s="23" t="n">
        <x:v>1105</x:v>
      </x:c>
      <x:c r="H164" s="23" t="n">
        <x:v>17</x:v>
      </x:c>
      <x:c r="I164" s="23"/>
      <x:c r="J164" s="20"/>
      <x:c r="K164" s="26" t="n">
        <x:v>1</x:v>
      </x:c>
      <x:c r="L164" s="26" t="n">
        <x:v>1</x:v>
      </x:c>
      <x:c r="M164" s="14" t="str">
        <x:f>IF(AND(K164=1,L164=1),"both_correct",IF(K164=1,"vanilla_only",IF(L164=1,"candidate_only","both_wrong")))</x:f>
        <x:v>both_correct</x:v>
      </x:c>
      <x:c r="N164" s="26" t="n">
        <x:v>0</x:v>
      </x:c>
      <x:c r="O164" s="26" t="n">
        <x:v>0</x:v>
      </x:c>
    </x:row>
    <x:row r="165" ht="21" customHeight="1">
      <x:c r="A165" s="14" t="str">
        <x:v>投诉分类中文</x:v>
      </x:c>
      <x:c r="B165" s="14" t="str">
        <x:v>MAECOM00155</x:v>
      </x:c>
      <x:c r="C165" s="17" t="n">
        <x:v>57.8293</x:v>
      </x:c>
      <x:c r="D165" s="17" t="n">
        <x:v>29.0333</x:v>
      </x:c>
      <x:c r="E165" s="17" t="n">
        <x:f>C165-D165</x:f>
        <x:v>28.796000000000003</x:v>
      </x:c>
      <x:c r="F165" s="20" t="n">
        <x:f>IFERROR(E165/C165,0)</x:f>
        <x:v>0.4979482718967721</x:v>
      </x:c>
      <x:c r="G165" s="23" t="n">
        <x:v>999</x:v>
      </x:c>
      <x:c r="H165" s="23" t="n">
        <x:v>16</x:v>
      </x:c>
      <x:c r="I165" s="23"/>
      <x:c r="J165" s="20"/>
      <x:c r="K165" s="26" t="n">
        <x:v>1</x:v>
      </x:c>
      <x:c r="L165" s="26" t="n">
        <x:v>1</x:v>
      </x:c>
      <x:c r="M165" s="14" t="str">
        <x:f>IF(AND(K165=1,L165=1),"both_correct",IF(K165=1,"vanilla_only",IF(L165=1,"candidate_only","both_wrong")))</x:f>
        <x:v>both_correct</x:v>
      </x:c>
      <x:c r="N165" s="26" t="n">
        <x:v>0</x:v>
      </x:c>
      <x:c r="O165" s="26" t="n">
        <x:v>0</x:v>
      </x:c>
    </x:row>
    <x:row r="166" ht="21" customHeight="1">
      <x:c r="A166" s="14" t="str">
        <x:v>投诉分类中文</x:v>
      </x:c>
      <x:c r="B166" s="14" t="str">
        <x:v>MAECOM00156</x:v>
      </x:c>
      <x:c r="C166" s="17" t="n">
        <x:v>50.7343</x:v>
      </x:c>
      <x:c r="D166" s="17" t="n">
        <x:v>29.5639</x:v>
      </x:c>
      <x:c r="E166" s="17" t="n">
        <x:f>C166-D166</x:f>
        <x:v>21.170399999999997</x:v>
      </x:c>
      <x:c r="F166" s="20" t="n">
        <x:f>IFERROR(E166/C166,0)</x:f>
        <x:v>0.4172798284395369</x:v>
      </x:c>
      <x:c r="G166" s="23" t="n">
        <x:v>874</x:v>
      </x:c>
      <x:c r="H166" s="23" t="n">
        <x:v>16</x:v>
      </x:c>
      <x:c r="I166" s="23"/>
      <x:c r="J166" s="20"/>
      <x:c r="K166" s="26" t="n">
        <x:v>1</x:v>
      </x:c>
      <x:c r="L166" s="26" t="n">
        <x:v>1</x:v>
      </x:c>
      <x:c r="M166" s="14" t="str">
        <x:f>IF(AND(K166=1,L166=1),"both_correct",IF(K166=1,"vanilla_only",IF(L166=1,"candidate_only","both_wrong")))</x:f>
        <x:v>both_correct</x:v>
      </x:c>
      <x:c r="N166" s="26" t="n">
        <x:v>0</x:v>
      </x:c>
      <x:c r="O166" s="26" t="n">
        <x:v>0</x:v>
      </x:c>
    </x:row>
    <x:row r="167" ht="21" customHeight="1">
      <x:c r="A167" s="14" t="str">
        <x:v>投诉分类中文</x:v>
      </x:c>
      <x:c r="B167" s="14" t="str">
        <x:v>MAECOM00157</x:v>
      </x:c>
      <x:c r="C167" s="17" t="n">
        <x:v>78.8943</x:v>
      </x:c>
      <x:c r="D167" s="17" t="n">
        <x:v>28.571</x:v>
      </x:c>
      <x:c r="E167" s="17" t="n">
        <x:f>C167-D167</x:f>
        <x:v>50.3233</x:v>
      </x:c>
      <x:c r="F167" s="20" t="n">
        <x:f>IFERROR(E167/C167,0)</x:f>
        <x:v>0.6378572342995629</x:v>
      </x:c>
      <x:c r="G167" s="23" t="n">
        <x:v>1292</x:v>
      </x:c>
      <x:c r="H167" s="23" t="n">
        <x:v>8</x:v>
      </x:c>
      <x:c r="I167" s="23"/>
      <x:c r="J167" s="20"/>
      <x:c r="K167" s="26" t="n">
        <x:v>1</x:v>
      </x:c>
      <x:c r="L167" s="26" t="n">
        <x:v>1</x:v>
      </x:c>
      <x:c r="M167" s="14" t="str">
        <x:f>IF(AND(K167=1,L167=1),"both_correct",IF(K167=1,"vanilla_only",IF(L167=1,"candidate_only","both_wrong")))</x:f>
        <x:v>both_correct</x:v>
      </x:c>
      <x:c r="N167" s="26" t="n">
        <x:v>0</x:v>
      </x:c>
      <x:c r="O167" s="26" t="n">
        <x:v>0</x:v>
      </x:c>
    </x:row>
    <x:row r="168" ht="21" customHeight="1">
      <x:c r="A168" s="14" t="str">
        <x:v>投诉分类中文</x:v>
      </x:c>
      <x:c r="B168" s="14" t="str">
        <x:v>MAECOM00158</x:v>
      </x:c>
      <x:c r="C168" s="17" t="n">
        <x:v>54.8456</x:v>
      </x:c>
      <x:c r="D168" s="17" t="n">
        <x:v>28.9911</x:v>
      </x:c>
      <x:c r="E168" s="17" t="n">
        <x:f>C168-D168</x:f>
        <x:v>25.854499999999998</x:v>
      </x:c>
      <x:c r="F168" s="20" t="n">
        <x:f>IFERROR(E168/C168,0)</x:f>
        <x:v>0.4714051810901877</x:v>
      </x:c>
      <x:c r="G168" s="23" t="n">
        <x:v>944</x:v>
      </x:c>
      <x:c r="H168" s="23" t="n">
        <x:v>16</x:v>
      </x:c>
      <x:c r="I168" s="23"/>
      <x:c r="J168" s="20"/>
      <x:c r="K168" s="26" t="n">
        <x:v>1</x:v>
      </x:c>
      <x:c r="L168" s="26" t="n">
        <x:v>1</x:v>
      </x:c>
      <x:c r="M168" s="14" t="str">
        <x:f>IF(AND(K168=1,L168=1),"both_correct",IF(K168=1,"vanilla_only",IF(L168=1,"candidate_only","both_wrong")))</x:f>
        <x:v>both_correct</x:v>
      </x:c>
      <x:c r="N168" s="26" t="n">
        <x:v>0</x:v>
      </x:c>
      <x:c r="O168" s="26" t="n">
        <x:v>0</x:v>
      </x:c>
    </x:row>
    <x:row r="169" ht="21" customHeight="1">
      <x:c r="A169" s="14" t="str">
        <x:v>投诉分类中文</x:v>
      </x:c>
      <x:c r="B169" s="14" t="str">
        <x:v>MAECOM00159</x:v>
      </x:c>
      <x:c r="C169" s="17" t="n">
        <x:v>61.8657</x:v>
      </x:c>
      <x:c r="D169" s="17" t="n">
        <x:v>29.1709</x:v>
      </x:c>
      <x:c r="E169" s="17" t="n">
        <x:f>C169-D169</x:f>
        <x:v>32.6948</x:v>
      </x:c>
      <x:c r="F169" s="20" t="n">
        <x:f>IFERROR(E169/C169,0)</x:f>
        <x:v>0.5284802402623748</x:v>
      </x:c>
      <x:c r="G169" s="23" t="n">
        <x:v>964</x:v>
      </x:c>
      <x:c r="H169" s="23" t="n">
        <x:v>16</x:v>
      </x:c>
      <x:c r="I169" s="23"/>
      <x:c r="J169" s="20"/>
      <x:c r="K169" s="26" t="n">
        <x:v>1</x:v>
      </x:c>
      <x:c r="L169" s="26" t="n">
        <x:v>1</x:v>
      </x:c>
      <x:c r="M169" s="14" t="str">
        <x:f>IF(AND(K169=1,L169=1),"both_correct",IF(K169=1,"vanilla_only",IF(L169=1,"candidate_only","both_wrong")))</x:f>
        <x:v>both_correct</x:v>
      </x:c>
      <x:c r="N169" s="26" t="n">
        <x:v>0</x:v>
      </x:c>
      <x:c r="O169" s="26" t="n">
        <x:v>0</x:v>
      </x:c>
    </x:row>
    <x:row r="170" ht="21" customHeight="1">
      <x:c r="A170" s="14" t="str">
        <x:v>投诉分类中文</x:v>
      </x:c>
      <x:c r="B170" s="14" t="str">
        <x:v>MAECOM00160</x:v>
      </x:c>
      <x:c r="C170" s="17" t="n">
        <x:v>63.4518</x:v>
      </x:c>
      <x:c r="D170" s="17" t="n">
        <x:v>36.2931</x:v>
      </x:c>
      <x:c r="E170" s="17" t="n">
        <x:f>C170-D170</x:f>
        <x:v>27.158699999999996</x:v>
      </x:c>
      <x:c r="F170" s="20" t="n">
        <x:f>IFERROR(E170/C170,0)</x:f>
        <x:v>0.4280209544882887</x:v>
      </x:c>
      <x:c r="G170" s="23" t="n">
        <x:v>1008</x:v>
      </x:c>
      <x:c r="H170" s="23" t="n">
        <x:v>16</x:v>
      </x:c>
      <x:c r="I170" s="23"/>
      <x:c r="J170" s="20"/>
      <x:c r="K170" s="26" t="n">
        <x:v>1</x:v>
      </x:c>
      <x:c r="L170" s="26" t="n">
        <x:v>1</x:v>
      </x:c>
      <x:c r="M170" s="14" t="str">
        <x:f>IF(AND(K170=1,L170=1),"both_correct",IF(K170=1,"vanilla_only",IF(L170=1,"candidate_only","both_wrong")))</x:f>
        <x:v>both_correct</x:v>
      </x:c>
      <x:c r="N170" s="26" t="n">
        <x:v>0</x:v>
      </x:c>
      <x:c r="O170" s="26" t="n">
        <x:v>0</x:v>
      </x:c>
    </x:row>
    <x:row r="171" ht="21" customHeight="1">
      <x:c r="A171" s="14" t="str">
        <x:v>投诉分类中文</x:v>
      </x:c>
      <x:c r="B171" s="14" t="str">
        <x:v>MAECOM00161</x:v>
      </x:c>
      <x:c r="C171" s="17" t="n">
        <x:v>50.9035</x:v>
      </x:c>
      <x:c r="D171" s="17" t="n">
        <x:v>30.1241</x:v>
      </x:c>
      <x:c r="E171" s="17" t="n">
        <x:f>C171-D171</x:f>
        <x:v>20.779400000000003</x:v>
      </x:c>
      <x:c r="F171" s="20" t="n">
        <x:f>IFERROR(E171/C171,0)</x:f>
        <x:v>0.408211616097125</x:v>
      </x:c>
      <x:c r="G171" s="23" t="n">
        <x:v>890</x:v>
      </x:c>
      <x:c r="H171" s="23" t="n">
        <x:v>16</x:v>
      </x:c>
      <x:c r="I171" s="23"/>
      <x:c r="J171" s="20"/>
      <x:c r="K171" s="26" t="n">
        <x:v>1</x:v>
      </x:c>
      <x:c r="L171" s="26" t="n">
        <x:v>1</x:v>
      </x:c>
      <x:c r="M171" s="14" t="str">
        <x:f>IF(AND(K171=1,L171=1),"both_correct",IF(K171=1,"vanilla_only",IF(L171=1,"candidate_only","both_wrong")))</x:f>
        <x:v>both_correct</x:v>
      </x:c>
      <x:c r="N171" s="26" t="n">
        <x:v>0</x:v>
      </x:c>
      <x:c r="O171" s="26" t="n">
        <x:v>0</x:v>
      </x:c>
    </x:row>
    <x:row r="172" ht="21" customHeight="1">
      <x:c r="A172" s="14" t="str">
        <x:v>投诉分类中文</x:v>
      </x:c>
      <x:c r="B172" s="14" t="str">
        <x:v>MAECOM00162</x:v>
      </x:c>
      <x:c r="C172" s="17" t="n">
        <x:v>55.3087</x:v>
      </x:c>
      <x:c r="D172" s="17" t="n">
        <x:v>30.6159</x:v>
      </x:c>
      <x:c r="E172" s="17" t="n">
        <x:f>C172-D172</x:f>
        <x:v>24.692800000000002</x:v>
      </x:c>
      <x:c r="F172" s="20" t="n">
        <x:f>IFERROR(E172/C172,0)</x:f>
        <x:v>0.4464541744788795</x:v>
      </x:c>
      <x:c r="G172" s="23" t="n">
        <x:v>1009</x:v>
      </x:c>
      <x:c r="H172" s="23" t="n">
        <x:v>16</x:v>
      </x:c>
      <x:c r="I172" s="23"/>
      <x:c r="J172" s="20"/>
      <x:c r="K172" s="26" t="n">
        <x:v>1</x:v>
      </x:c>
      <x:c r="L172" s="26" t="n">
        <x:v>1</x:v>
      </x:c>
      <x:c r="M172" s="14" t="str">
        <x:f>IF(AND(K172=1,L172=1),"both_correct",IF(K172=1,"vanilla_only",IF(L172=1,"candidate_only","both_wrong")))</x:f>
        <x:v>both_correct</x:v>
      </x:c>
      <x:c r="N172" s="26" t="n">
        <x:v>0</x:v>
      </x:c>
      <x:c r="O172" s="26" t="n">
        <x:v>0</x:v>
      </x:c>
    </x:row>
    <x:row r="173" ht="21" customHeight="1">
      <x:c r="A173" s="14" t="str">
        <x:v>投诉分类中文</x:v>
      </x:c>
      <x:c r="B173" s="14" t="str">
        <x:v>MAECOM00163</x:v>
      </x:c>
      <x:c r="C173" s="17" t="n">
        <x:v>40.2329</x:v>
      </x:c>
      <x:c r="D173" s="17" t="n">
        <x:v>21.7992</x:v>
      </x:c>
      <x:c r="E173" s="17" t="n">
        <x:f>C173-D173</x:f>
        <x:v>18.4337</x:v>
      </x:c>
      <x:c r="F173" s="20" t="n">
        <x:f>IFERROR(E173/C173,0)</x:f>
        <x:v>0.4581747773588283</x:v>
      </x:c>
      <x:c r="G173" s="23" t="n">
        <x:v>864</x:v>
      </x:c>
      <x:c r="H173" s="23" t="n">
        <x:v>17</x:v>
      </x:c>
      <x:c r="I173" s="23"/>
      <x:c r="J173" s="20"/>
      <x:c r="K173" s="26" t="n">
        <x:v>1</x:v>
      </x:c>
      <x:c r="L173" s="26" t="n">
        <x:v>1</x:v>
      </x:c>
      <x:c r="M173" s="14" t="str">
        <x:f>IF(AND(K173=1,L173=1),"both_correct",IF(K173=1,"vanilla_only",IF(L173=1,"candidate_only","both_wrong")))</x:f>
        <x:v>both_correct</x:v>
      </x:c>
      <x:c r="N173" s="26" t="n">
        <x:v>0</x:v>
      </x:c>
      <x:c r="O173" s="26" t="n">
        <x:v>0</x:v>
      </x:c>
    </x:row>
    <x:row r="174" ht="21" customHeight="1">
      <x:c r="A174" s="14" t="str">
        <x:v>投诉分类中文</x:v>
      </x:c>
      <x:c r="B174" s="14" t="str">
        <x:v>MAECOM00164</x:v>
      </x:c>
      <x:c r="C174" s="17" t="n">
        <x:v>37.8658</x:v>
      </x:c>
      <x:c r="D174" s="17" t="n">
        <x:v>12.0119</x:v>
      </x:c>
      <x:c r="E174" s="17" t="n">
        <x:f>C174-D174</x:f>
        <x:v>25.8539</x:v>
      </x:c>
      <x:c r="F174" s="20" t="n">
        <x:f>IFERROR(E174/C174,0)</x:f>
        <x:v>0.682777070601968</x:v>
      </x:c>
      <x:c r="G174" s="23" t="n">
        <x:v>886</x:v>
      </x:c>
      <x:c r="H174" s="23" t="n">
        <x:v>16</x:v>
      </x:c>
      <x:c r="I174" s="23"/>
      <x:c r="J174" s="20"/>
      <x:c r="K174" s="26" t="n">
        <x:v>1</x:v>
      </x:c>
      <x:c r="L174" s="26" t="n">
        <x:v>1</x:v>
      </x:c>
      <x:c r="M174" s="14" t="str">
        <x:f>IF(AND(K174=1,L174=1),"both_correct",IF(K174=1,"vanilla_only",IF(L174=1,"candidate_only","both_wrong")))</x:f>
        <x:v>both_correct</x:v>
      </x:c>
      <x:c r="N174" s="26" t="n">
        <x:v>0</x:v>
      </x:c>
      <x:c r="O174" s="26" t="n">
        <x:v>0</x:v>
      </x:c>
    </x:row>
    <x:row r="175" ht="21" customHeight="1">
      <x:c r="A175" s="14" t="str">
        <x:v>事件自闭环</x:v>
      </x:c>
      <x:c r="B175" s="14" t="str">
        <x:v>TC00000003</x:v>
      </x:c>
      <x:c r="C175" s="17" t="n">
        <x:v>73.9789</x:v>
      </x:c>
      <x:c r="D175" s="17" t="n">
        <x:v>75.4065</x:v>
      </x:c>
      <x:c r="E175" s="17" t="n">
        <x:f>C175-D175</x:f>
        <x:v>-1.4275999999999982</x:v>
      </x:c>
      <x:c r="F175" s="20" t="n">
        <x:f>IFERROR(E175/C175,0)</x:f>
        <x:v>-0.0192973942570111</x:v>
      </x:c>
      <x:c r="G175" s="23" t="n">
        <x:v>1262</x:v>
      </x:c>
      <x:c r="H175" s="23" t="n">
        <x:v>139</x:v>
      </x:c>
      <x:c r="I175" s="23"/>
      <x:c r="J175" s="20"/>
      <x:c r="K175" s="26" t="n">
        <x:v>1</x:v>
      </x:c>
      <x:c r="L175" s="26" t="n">
        <x:v>1</x:v>
      </x:c>
      <x:c r="M175" s="14" t="str">
        <x:f>IF(AND(K175=1,L175=1),"both_correct",IF(K175=1,"vanilla_only",IF(L175=1,"candidate_only","both_wrong")))</x:f>
        <x:v>both_correct</x:v>
      </x:c>
      <x:c r="N175" s="26" t="n">
        <x:v>0</x:v>
      </x:c>
      <x:c r="O175" s="26" t="n">
        <x:v>0</x:v>
      </x:c>
    </x:row>
    <x:row r="176" ht="21" customHeight="1">
      <x:c r="A176" s="14" t="str">
        <x:v>事件自闭环</x:v>
      </x:c>
      <x:c r="B176" s="14" t="str">
        <x:v>TC00000006</x:v>
      </x:c>
      <x:c r="C176" s="17" t="n">
        <x:v>70.5211</x:v>
      </x:c>
      <x:c r="D176" s="17" t="n">
        <x:v>58.0911</x:v>
      </x:c>
      <x:c r="E176" s="17" t="n">
        <x:f>C176-D176</x:f>
        <x:v>12.430000000000007</x:v>
      </x:c>
      <x:c r="F176" s="20" t="n">
        <x:f>IFERROR(E176/C176,0)</x:f>
        <x:v>0.17625930395300138</x:v>
      </x:c>
      <x:c r="G176" s="23" t="n">
        <x:v>1182</x:v>
      </x:c>
      <x:c r="H176" s="23" t="n">
        <x:v>138</x:v>
      </x:c>
      <x:c r="I176" s="23"/>
      <x:c r="J176" s="20"/>
      <x:c r="K176" s="26" t="n">
        <x:v>1</x:v>
      </x:c>
      <x:c r="L176" s="26" t="n">
        <x:v>1</x:v>
      </x:c>
      <x:c r="M176" s="14" t="str">
        <x:f>IF(AND(K176=1,L176=1),"both_correct",IF(K176=1,"vanilla_only",IF(L176=1,"candidate_only","both_wrong")))</x:f>
        <x:v>both_correct</x:v>
      </x:c>
      <x:c r="N176" s="26" t="n">
        <x:v>0</x:v>
      </x:c>
      <x:c r="O176" s="26" t="n">
        <x:v>0</x:v>
      </x:c>
    </x:row>
    <x:row r="177" ht="21" customHeight="1">
      <x:c r="A177" s="14" t="str">
        <x:v>事件自闭环</x:v>
      </x:c>
      <x:c r="B177" s="14" t="str">
        <x:v>TC00000009</x:v>
      </x:c>
      <x:c r="C177" s="17" t="n">
        <x:v>61.9457</x:v>
      </x:c>
      <x:c r="D177" s="17" t="n">
        <x:v>59.7752</x:v>
      </x:c>
      <x:c r="E177" s="17" t="n">
        <x:f>C177-D177</x:f>
        <x:v>2.170500000000004</x:v>
      </x:c>
      <x:c r="F177" s="20" t="n">
        <x:f>IFERROR(E177/C177,0)</x:f>
        <x:v>0.0350387516809077</x:v>
      </x:c>
      <x:c r="G177" s="23" t="n">
        <x:v>1093</x:v>
      </x:c>
      <x:c r="H177" s="23" t="n">
        <x:v>139</x:v>
      </x:c>
      <x:c r="I177" s="23"/>
      <x:c r="J177" s="20"/>
      <x:c r="K177" s="26" t="n">
        <x:v>1</x:v>
      </x:c>
      <x:c r="L177" s="26" t="n">
        <x:v>1</x:v>
      </x:c>
      <x:c r="M177" s="14" t="str">
        <x:f>IF(AND(K177=1,L177=1),"both_correct",IF(K177=1,"vanilla_only",IF(L177=1,"candidate_only","both_wrong")))</x:f>
        <x:v>both_correct</x:v>
      </x:c>
      <x:c r="N177" s="26" t="n">
        <x:v>0</x:v>
      </x:c>
      <x:c r="O177" s="26" t="n">
        <x:v>0</x:v>
      </x:c>
    </x:row>
    <x:row r="178" ht="21" customHeight="1">
      <x:c r="A178" s="14" t="str">
        <x:v>事件自闭环</x:v>
      </x:c>
      <x:c r="B178" s="14" t="str">
        <x:v>TC00000012</x:v>
      </x:c>
      <x:c r="C178" s="17" t="n">
        <x:v>118.4355</x:v>
      </x:c>
      <x:c r="D178" s="17" t="n">
        <x:v>101.4577</x:v>
      </x:c>
      <x:c r="E178" s="17" t="n">
        <x:f>C178-D178</x:f>
        <x:v>16.977800000000002</x:v>
      </x:c>
      <x:c r="F178" s="20" t="n">
        <x:f>IFERROR(E178/C178,0)</x:f>
        <x:v>0.1433506001156748</x:v>
      </x:c>
      <x:c r="G178" s="23" t="n">
        <x:v>2278</x:v>
      </x:c>
      <x:c r="H178" s="23" t="n">
        <x:v>928</x:v>
      </x:c>
      <x:c r="I178" s="23"/>
      <x:c r="J178" s="20"/>
      <x:c r="K178" s="26" t="n">
        <x:v>1</x:v>
      </x:c>
      <x:c r="L178" s="26" t="n">
        <x:v>0</x:v>
      </x:c>
      <x:c r="M178" s="14" t="str">
        <x:f>IF(AND(K178=1,L178=1),"both_correct",IF(K178=1,"vanilla_only",IF(L178=1,"candidate_only","both_wrong")))</x:f>
        <x:v>vanilla_only</x:v>
      </x:c>
      <x:c r="N178" s="26" t="n">
        <x:v>0</x:v>
      </x:c>
      <x:c r="O178" s="26" t="n">
        <x:v>0</x:v>
      </x:c>
    </x:row>
    <x:row r="179" ht="21" customHeight="1">
      <x:c r="A179" s="14" t="str">
        <x:v>事件自闭环</x:v>
      </x:c>
      <x:c r="B179" s="14" t="str">
        <x:v>TC00000015</x:v>
      </x:c>
      <x:c r="C179" s="17" t="n">
        <x:v>100.784</x:v>
      </x:c>
      <x:c r="D179" s="17" t="n">
        <x:v>52.5247</x:v>
      </x:c>
      <x:c r="E179" s="17" t="n">
        <x:f>C179-D179</x:f>
        <x:v>48.2593</x:v>
      </x:c>
      <x:c r="F179" s="20" t="n">
        <x:f>IFERROR(E179/C179,0)</x:f>
        <x:v>0.47883890300047627</x:v>
      </x:c>
      <x:c r="G179" s="23" t="n">
        <x:v>1910</x:v>
      </x:c>
      <x:c r="H179" s="23" t="n">
        <x:v>206</x:v>
      </x:c>
      <x:c r="I179" s="23"/>
      <x:c r="J179" s="20"/>
      <x:c r="K179" s="26" t="n">
        <x:v>0</x:v>
      </x:c>
      <x:c r="L179" s="26" t="n">
        <x:v>1</x:v>
      </x:c>
      <x:c r="M179" s="14" t="str">
        <x:f>IF(AND(K179=1,L179=1),"both_correct",IF(K179=1,"vanilla_only",IF(L179=1,"candidate_only","both_wrong")))</x:f>
        <x:v>candidate_only</x:v>
      </x:c>
      <x:c r="N179" s="26" t="n">
        <x:v>0</x:v>
      </x:c>
      <x:c r="O179" s="26" t="n">
        <x:v>0</x:v>
      </x:c>
    </x:row>
    <x:row r="180" ht="21" customHeight="1">
      <x:c r="A180" s="14" t="str">
        <x:v>事件自闭环</x:v>
      </x:c>
      <x:c r="B180" s="14" t="str">
        <x:v>TC00000020</x:v>
      </x:c>
      <x:c r="C180" s="17" t="n">
        <x:v>94.504</x:v>
      </x:c>
      <x:c r="D180" s="17" t="n">
        <x:v>57.6307</x:v>
      </x:c>
      <x:c r="E180" s="17" t="n">
        <x:f>C180-D180</x:f>
        <x:v>36.87330000000001</x:v>
      </x:c>
      <x:c r="F180" s="20" t="n">
        <x:f>IFERROR(E180/C180,0)</x:f>
        <x:v>0.39017713535934995</x:v>
      </x:c>
      <x:c r="G180" s="23" t="n">
        <x:v>1703</x:v>
      </x:c>
      <x:c r="H180" s="23" t="n">
        <x:v>291</x:v>
      </x:c>
      <x:c r="I180" s="23"/>
      <x:c r="J180" s="20"/>
      <x:c r="K180" s="26" t="n">
        <x:v>1</x:v>
      </x:c>
      <x:c r="L180" s="26" t="n">
        <x:v>1</x:v>
      </x:c>
      <x:c r="M180" s="14" t="str">
        <x:f>IF(AND(K180=1,L180=1),"both_correct",IF(K180=1,"vanilla_only",IF(L180=1,"candidate_only","both_wrong")))</x:f>
        <x:v>both_correct</x:v>
      </x:c>
      <x:c r="N180" s="26" t="n">
        <x:v>0</x:v>
      </x:c>
      <x:c r="O180" s="26" t="n">
        <x:v>0</x:v>
      </x:c>
    </x:row>
    <x:row r="181" ht="21" customHeight="1">
      <x:c r="A181" s="14" t="str">
        <x:v>事件自闭环</x:v>
      </x:c>
      <x:c r="B181" s="14" t="str">
        <x:v>TC00000032</x:v>
      </x:c>
      <x:c r="C181" s="17" t="n">
        <x:v>108.5919</x:v>
      </x:c>
      <x:c r="D181" s="17" t="n">
        <x:v>71.9116</x:v>
      </x:c>
      <x:c r="E181" s="17" t="n">
        <x:f>C181-D181</x:f>
        <x:v>36.68029999999999</x:v>
      </x:c>
      <x:c r="F181" s="20" t="n">
        <x:f>IFERROR(E181/C181,0)</x:f>
        <x:v>0.33778117889087483</x:v>
      </x:c>
      <x:c r="G181" s="23" t="n">
        <x:v>2040</x:v>
      </x:c>
      <x:c r="H181" s="23" t="n">
        <x:v>488</x:v>
      </x:c>
      <x:c r="I181" s="23"/>
      <x:c r="J181" s="20"/>
      <x:c r="K181" s="26" t="n">
        <x:v>1</x:v>
      </x:c>
      <x:c r="L181" s="26" t="n">
        <x:v>1</x:v>
      </x:c>
      <x:c r="M181" s="14" t="str">
        <x:f>IF(AND(K181=1,L181=1),"both_correct",IF(K181=1,"vanilla_only",IF(L181=1,"candidate_only","both_wrong")))</x:f>
        <x:v>both_correct</x:v>
      </x:c>
      <x:c r="N181" s="26" t="n">
        <x:v>0</x:v>
      </x:c>
      <x:c r="O181" s="26" t="n">
        <x:v>0</x:v>
      </x:c>
    </x:row>
    <x:row r="182" ht="21" customHeight="1">
      <x:c r="A182" s="14" t="str">
        <x:v>事件自闭环</x:v>
      </x:c>
      <x:c r="B182" s="14" t="str">
        <x:v>TC00000035</x:v>
      </x:c>
      <x:c r="C182" s="17" t="n">
        <x:v>88.5719</x:v>
      </x:c>
      <x:c r="D182" s="17" t="n">
        <x:v>69.2623</x:v>
      </x:c>
      <x:c r="E182" s="17" t="n">
        <x:f>C182-D182</x:f>
        <x:v>19.309600000000003</x:v>
      </x:c>
      <x:c r="F182" s="20" t="n">
        <x:f>IFERROR(E182/C182,0)</x:f>
        <x:v>0.21801045252501078</x:v>
      </x:c>
      <x:c r="G182" s="23" t="n">
        <x:v>1622</x:v>
      </x:c>
      <x:c r="H182" s="23" t="n">
        <x:v>341</x:v>
      </x:c>
      <x:c r="I182" s="23"/>
      <x:c r="J182" s="20"/>
      <x:c r="K182" s="26" t="n">
        <x:v>1</x:v>
      </x:c>
      <x:c r="L182" s="26" t="n">
        <x:v>1</x:v>
      </x:c>
      <x:c r="M182" s="14" t="str">
        <x:f>IF(AND(K182=1,L182=1),"both_correct",IF(K182=1,"vanilla_only",IF(L182=1,"candidate_only","both_wrong")))</x:f>
        <x:v>both_correct</x:v>
      </x:c>
      <x:c r="N182" s="26" t="n">
        <x:v>0</x:v>
      </x:c>
      <x:c r="O182" s="26" t="n">
        <x:v>0</x:v>
      </x:c>
    </x:row>
    <x:row r="183" ht="21" customHeight="1">
      <x:c r="A183" s="14" t="str">
        <x:v>事件自闭环</x:v>
      </x:c>
      <x:c r="B183" s="14" t="str">
        <x:v>TC00000040</x:v>
      </x:c>
      <x:c r="C183" s="17" t="n">
        <x:v>124.5777</x:v>
      </x:c>
      <x:c r="D183" s="17" t="n">
        <x:v>69.8065</x:v>
      </x:c>
      <x:c r="E183" s="17" t="n">
        <x:f>C183-D183</x:f>
        <x:v>54.77119999999999</x:v>
      </x:c>
      <x:c r="F183" s="20" t="n">
        <x:f>IFERROR(E183/C183,0)</x:f>
        <x:v>0.4396549302162425</x:v>
      </x:c>
      <x:c r="G183" s="23" t="n">
        <x:v>2304</x:v>
      </x:c>
      <x:c r="H183" s="23" t="n">
        <x:v>363</x:v>
      </x:c>
      <x:c r="I183" s="23"/>
      <x:c r="J183" s="20"/>
      <x:c r="K183" s="26" t="n">
        <x:v>1</x:v>
      </x:c>
      <x:c r="L183" s="26" t="n">
        <x:v>1</x:v>
      </x:c>
      <x:c r="M183" s="14" t="str">
        <x:f>IF(AND(K183=1,L183=1),"both_correct",IF(K183=1,"vanilla_only",IF(L183=1,"candidate_only","both_wrong")))</x:f>
        <x:v>both_correct</x:v>
      </x:c>
      <x:c r="N183" s="26" t="n">
        <x:v>0</x:v>
      </x:c>
      <x:c r="O183" s="26" t="n">
        <x:v>0</x:v>
      </x:c>
    </x:row>
    <x:row r="184" ht="21" customHeight="1">
      <x:c r="A184" s="14" t="str">
        <x:v>事件自闭环</x:v>
      </x:c>
      <x:c r="B184" s="14" t="str">
        <x:v>TC00000045</x:v>
      </x:c>
      <x:c r="C184" s="17" t="n">
        <x:v>73.0082</x:v>
      </x:c>
      <x:c r="D184" s="17" t="n">
        <x:v>68.6913</x:v>
      </x:c>
      <x:c r="E184" s="17" t="n">
        <x:f>C184-D184</x:f>
        <x:v>4.316900000000004</x:v>
      </x:c>
      <x:c r="F184" s="20" t="n">
        <x:f>IFERROR(E184/C184,0)</x:f>
        <x:v>0.05912897455354335</x:v>
      </x:c>
      <x:c r="G184" s="23" t="n">
        <x:v>1283</x:v>
      </x:c>
      <x:c r="H184" s="23" t="n">
        <x:v>280</x:v>
      </x:c>
      <x:c r="I184" s="23"/>
      <x:c r="J184" s="20"/>
      <x:c r="K184" s="26" t="n">
        <x:v>1</x:v>
      </x:c>
      <x:c r="L184" s="26" t="n">
        <x:v>1</x:v>
      </x:c>
      <x:c r="M184" s="14" t="str">
        <x:f>IF(AND(K184=1,L184=1),"both_correct",IF(K184=1,"vanilla_only",IF(L184=1,"candidate_only","both_wrong")))</x:f>
        <x:v>both_correct</x:v>
      </x:c>
      <x:c r="N184" s="26" t="n">
        <x:v>0</x:v>
      </x:c>
      <x:c r="O184" s="26" t="n">
        <x:v>0</x:v>
      </x:c>
    </x:row>
    <x:row r="185" ht="21" customHeight="1">
      <x:c r="A185" s="14" t="str">
        <x:v>事件自闭环</x:v>
      </x:c>
      <x:c r="B185" s="14" t="str">
        <x:v>TC00000048</x:v>
      </x:c>
      <x:c r="C185" s="17" t="n">
        <x:v>64.8846</x:v>
      </x:c>
      <x:c r="D185" s="17" t="n">
        <x:v>71.9482</x:v>
      </x:c>
      <x:c r="E185" s="17" t="n">
        <x:f>C185-D185</x:f>
        <x:v>-7.063599999999994</x:v>
      </x:c>
      <x:c r="F185" s="20" t="n">
        <x:f>IFERROR(E185/C185,0)</x:f>
        <x:v>-0.10886404478104193</x:v>
      </x:c>
      <x:c r="G185" s="23" t="n">
        <x:v>1118</x:v>
      </x:c>
      <x:c r="H185" s="23" t="n">
        <x:v>137</x:v>
      </x:c>
      <x:c r="I185" s="23"/>
      <x:c r="J185" s="20"/>
      <x:c r="K185" s="26" t="n">
        <x:v>1</x:v>
      </x:c>
      <x:c r="L185" s="26" t="n">
        <x:v>1</x:v>
      </x:c>
      <x:c r="M185" s="14" t="str">
        <x:f>IF(AND(K185=1,L185=1),"both_correct",IF(K185=1,"vanilla_only",IF(L185=1,"candidate_only","both_wrong")))</x:f>
        <x:v>both_correct</x:v>
      </x:c>
      <x:c r="N185" s="26" t="n">
        <x:v>0</x:v>
      </x:c>
      <x:c r="O185" s="26" t="n">
        <x:v>0</x:v>
      </x:c>
    </x:row>
    <x:row r="186" ht="21" customHeight="1">
      <x:c r="A186" s="14" t="str">
        <x:v>事件自闭环</x:v>
      </x:c>
      <x:c r="B186" s="14" t="str">
        <x:v>TC00000054</x:v>
      </x:c>
      <x:c r="C186" s="17" t="n">
        <x:v>199.3165</x:v>
      </x:c>
      <x:c r="D186" s="17" t="n">
        <x:v>95.2072</x:v>
      </x:c>
      <x:c r="E186" s="17" t="n">
        <x:f>C186-D186</x:f>
        <x:v>104.10929999999999</x:v>
      </x:c>
      <x:c r="F186" s="20" t="n">
        <x:f>IFERROR(E186/C186,0)</x:f>
        <x:v>0.5223315681340983</x:v>
      </x:c>
      <x:c r="G186" s="23" t="n">
        <x:v>3782</x:v>
      </x:c>
      <x:c r="H186" s="23" t="n">
        <x:v>862</x:v>
      </x:c>
      <x:c r="I186" s="23"/>
      <x:c r="J186" s="20"/>
      <x:c r="K186" s="26" t="n">
        <x:v>1</x:v>
      </x:c>
      <x:c r="L186" s="26" t="n">
        <x:v>1</x:v>
      </x:c>
      <x:c r="M186" s="14" t="str">
        <x:f>IF(AND(K186=1,L186=1),"both_correct",IF(K186=1,"vanilla_only",IF(L186=1,"candidate_only","both_wrong")))</x:f>
        <x:v>both_correct</x:v>
      </x:c>
      <x:c r="N186" s="26" t="n">
        <x:v>0</x:v>
      </x:c>
      <x:c r="O186" s="26" t="n">
        <x:v>0</x:v>
      </x:c>
    </x:row>
    <x:row r="187" ht="21" customHeight="1">
      <x:c r="A187" s="14" t="str">
        <x:v>事件自闭环</x:v>
      </x:c>
      <x:c r="B187" s="14" t="str">
        <x:v>TC00000057</x:v>
      </x:c>
      <x:c r="C187" s="17" t="n">
        <x:v>125.4363</x:v>
      </x:c>
      <x:c r="D187" s="17" t="n">
        <x:v>75.7511</x:v>
      </x:c>
      <x:c r="E187" s="17" t="n">
        <x:f>C187-D187</x:f>
        <x:v>49.68520000000001</x:v>
      </x:c>
      <x:c r="F187" s="20" t="n">
        <x:f>IFERROR(E187/C187,0)</x:f>
        <x:v>0.39609905585544225</x:v>
      </x:c>
      <x:c r="G187" s="23" t="n">
        <x:v>2365</x:v>
      </x:c>
      <x:c r="H187" s="23" t="n">
        <x:v>621</x:v>
      </x:c>
      <x:c r="I187" s="23"/>
      <x:c r="J187" s="20"/>
      <x:c r="K187" s="26" t="n">
        <x:v>1</x:v>
      </x:c>
      <x:c r="L187" s="26" t="n">
        <x:v>0</x:v>
      </x:c>
      <x:c r="M187" s="14" t="str">
        <x:f>IF(AND(K187=1,L187=1),"both_correct",IF(K187=1,"vanilla_only",IF(L187=1,"candidate_only","both_wrong")))</x:f>
        <x:v>vanilla_only</x:v>
      </x:c>
      <x:c r="N187" s="26" t="n">
        <x:v>0</x:v>
      </x:c>
      <x:c r="O187" s="26" t="n">
        <x:v>0</x:v>
      </x:c>
    </x:row>
    <x:row r="188" ht="21" customHeight="1">
      <x:c r="A188" s="14" t="str">
        <x:v>事件自闭环</x:v>
      </x:c>
      <x:c r="B188" s="14" t="str">
        <x:v>TC00000060</x:v>
      </x:c>
      <x:c r="C188" s="17" t="n">
        <x:v>85.0535</x:v>
      </x:c>
      <x:c r="D188" s="17" t="n">
        <x:v>87.3476</x:v>
      </x:c>
      <x:c r="E188" s="17" t="n">
        <x:f>C188-D188</x:f>
        <x:v>-2.2941000000000003</x:v>
      </x:c>
      <x:c r="F188" s="20" t="n">
        <x:f>IFERROR(E188/C188,0)</x:f>
        <x:v>-0.02697243499679614</x:v>
      </x:c>
      <x:c r="G188" s="23" t="n">
        <x:v>1531</x:v>
      </x:c>
      <x:c r="H188" s="23" t="n">
        <x:v>651</x:v>
      </x:c>
      <x:c r="I188" s="23"/>
      <x:c r="J188" s="20"/>
      <x:c r="K188" s="26" t="n">
        <x:v>1</x:v>
      </x:c>
      <x:c r="L188" s="26" t="n">
        <x:v>1</x:v>
      </x:c>
      <x:c r="M188" s="14" t="str">
        <x:f>IF(AND(K188=1,L188=1),"both_correct",IF(K188=1,"vanilla_only",IF(L188=1,"candidate_only","both_wrong")))</x:f>
        <x:v>both_correct</x:v>
      </x:c>
      <x:c r="N188" s="26" t="n">
        <x:v>0</x:v>
      </x:c>
      <x:c r="O188" s="26" t="n">
        <x:v>0</x:v>
      </x:c>
    </x:row>
    <x:row r="189" ht="21" customHeight="1">
      <x:c r="A189" s="14" t="str">
        <x:v>事件自闭环</x:v>
      </x:c>
      <x:c r="B189" s="14" t="str">
        <x:v>TC00000063</x:v>
      </x:c>
      <x:c r="C189" s="17" t="n">
        <x:v>106.2252</x:v>
      </x:c>
      <x:c r="D189" s="17" t="n">
        <x:v>73.2711</x:v>
      </x:c>
      <x:c r="E189" s="17" t="n">
        <x:f>C189-D189</x:f>
        <x:v>32.9541</x:v>
      </x:c>
      <x:c r="F189" s="20" t="n">
        <x:f>IFERROR(E189/C189,0)</x:f>
        <x:v>0.31022864630991515</x:v>
      </x:c>
      <x:c r="G189" s="23" t="n">
        <x:v>1897</x:v>
      </x:c>
      <x:c r="H189" s="23" t="n">
        <x:v>383</x:v>
      </x:c>
      <x:c r="I189" s="23"/>
      <x:c r="J189" s="20"/>
      <x:c r="K189" s="26" t="n">
        <x:v>1</x:v>
      </x:c>
      <x:c r="L189" s="26" t="n">
        <x:v>1</x:v>
      </x:c>
      <x:c r="M189" s="14" t="str">
        <x:f>IF(AND(K189=1,L189=1),"both_correct",IF(K189=1,"vanilla_only",IF(L189=1,"candidate_only","both_wrong")))</x:f>
        <x:v>both_correct</x:v>
      </x:c>
      <x:c r="N189" s="26" t="n">
        <x:v>0</x:v>
      </x:c>
      <x:c r="O189" s="26" t="n">
        <x:v>0</x:v>
      </x:c>
    </x:row>
    <x:row r="190" ht="21" customHeight="1">
      <x:c r="A190" s="14" t="str">
        <x:v>事件自闭环</x:v>
      </x:c>
      <x:c r="B190" s="14" t="str">
        <x:v>TC00000066</x:v>
      </x:c>
      <x:c r="C190" s="17" t="n">
        <x:v>99.9505</x:v>
      </x:c>
      <x:c r="D190" s="17" t="n">
        <x:v>74.1719</x:v>
      </x:c>
      <x:c r="E190" s="17" t="n">
        <x:f>C190-D190</x:f>
        <x:v>25.77860000000001</x:v>
      </x:c>
      <x:c r="F190" s="20" t="n">
        <x:f>IFERROR(E190/C190,0)</x:f>
        <x:v>0.2579136672652964</x:v>
      </x:c>
      <x:c r="G190" s="23" t="n">
        <x:v>1742</x:v>
      </x:c>
      <x:c r="H190" s="23" t="n">
        <x:v>351</x:v>
      </x:c>
      <x:c r="I190" s="23"/>
      <x:c r="J190" s="20"/>
      <x:c r="K190" s="26" t="n">
        <x:v>1</x:v>
      </x:c>
      <x:c r="L190" s="26" t="n">
        <x:v>1</x:v>
      </x:c>
      <x:c r="M190" s="14" t="str">
        <x:f>IF(AND(K190=1,L190=1),"both_correct",IF(K190=1,"vanilla_only",IF(L190=1,"candidate_only","both_wrong")))</x:f>
        <x:v>both_correct</x:v>
      </x:c>
      <x:c r="N190" s="26" t="n">
        <x:v>0</x:v>
      </x:c>
      <x:c r="O190" s="26" t="n">
        <x:v>0</x:v>
      </x:c>
    </x:row>
    <x:row r="191" ht="21" customHeight="1">
      <x:c r="A191" s="14" t="str">
        <x:v>事件自闭环</x:v>
      </x:c>
      <x:c r="B191" s="14" t="str">
        <x:v>TC00000069</x:v>
      </x:c>
      <x:c r="C191" s="17" t="n">
        <x:v>194.9479</x:v>
      </x:c>
      <x:c r="D191" s="17" t="n">
        <x:v>210.3811</x:v>
      </x:c>
      <x:c r="E191" s="17" t="n">
        <x:f>C191-D191</x:f>
        <x:v>-15.4332</x:v>
      </x:c>
      <x:c r="F191" s="20" t="n">
        <x:f>IFERROR(E191/C191,0)</x:f>
        <x:v>-0.07916576685360549</x:v>
      </x:c>
      <x:c r="G191" s="23" t="n">
        <x:v>3769</x:v>
      </x:c>
      <x:c r="H191" s="23" t="n">
        <x:v>3271</x:v>
      </x:c>
      <x:c r="I191" s="23"/>
      <x:c r="J191" s="20"/>
      <x:c r="K191" s="26" t="n">
        <x:v>1</x:v>
      </x:c>
      <x:c r="L191" s="26" t="n">
        <x:v>1</x:v>
      </x:c>
      <x:c r="M191" s="14" t="str">
        <x:f>IF(AND(K191=1,L191=1),"both_correct",IF(K191=1,"vanilla_only",IF(L191=1,"candidate_only","both_wrong")))</x:f>
        <x:v>both_correct</x:v>
      </x:c>
      <x:c r="N191" s="26" t="n">
        <x:v>0</x:v>
      </x:c>
      <x:c r="O191" s="26" t="n">
        <x:v>0</x:v>
      </x:c>
    </x:row>
    <x:row r="192" ht="21" customHeight="1">
      <x:c r="A192" s="14" t="str">
        <x:v>事件自闭环</x:v>
      </x:c>
      <x:c r="B192" s="14" t="str">
        <x:v>TC00000076</x:v>
      </x:c>
      <x:c r="C192" s="17" t="n">
        <x:v>83.8846</x:v>
      </x:c>
      <x:c r="D192" s="17" t="n">
        <x:v>50.1437</x:v>
      </x:c>
      <x:c r="E192" s="17" t="n">
        <x:f>C192-D192</x:f>
        <x:v>33.7409</x:v>
      </x:c>
      <x:c r="F192" s="20" t="n">
        <x:f>IFERROR(E192/C192,0)</x:f>
        <x:v>0.4022299683136118</x:v>
      </x:c>
      <x:c r="G192" s="23" t="n">
        <x:v>1528</x:v>
      </x:c>
      <x:c r="H192" s="23" t="n">
        <x:v>142</x:v>
      </x:c>
      <x:c r="I192" s="23"/>
      <x:c r="J192" s="20"/>
      <x:c r="K192" s="26" t="n">
        <x:v>1</x:v>
      </x:c>
      <x:c r="L192" s="26" t="n">
        <x:v>1</x:v>
      </x:c>
      <x:c r="M192" s="14" t="str">
        <x:f>IF(AND(K192=1,L192=1),"both_correct",IF(K192=1,"vanilla_only",IF(L192=1,"candidate_only","both_wrong")))</x:f>
        <x:v>both_correct</x:v>
      </x:c>
      <x:c r="N192" s="26" t="n">
        <x:v>0</x:v>
      </x:c>
      <x:c r="O192" s="26" t="n">
        <x:v>0</x:v>
      </x:c>
    </x:row>
    <x:row r="193" ht="21" customHeight="1">
      <x:c r="A193" s="14" t="str">
        <x:v>事件自闭环</x:v>
      </x:c>
      <x:c r="B193" s="14" t="str">
        <x:v>TC00000079</x:v>
      </x:c>
      <x:c r="C193" s="17" t="n">
        <x:v>83.6345</x:v>
      </x:c>
      <x:c r="D193" s="17" t="n">
        <x:v>55.8042</x:v>
      </x:c>
      <x:c r="E193" s="17" t="n">
        <x:f>C193-D193</x:f>
        <x:v>27.8303</x:v>
      </x:c>
      <x:c r="F193" s="20" t="n">
        <x:f>IFERROR(E193/C193,0)</x:f>
        <x:v>0.3327610017397127</x:v>
      </x:c>
      <x:c r="G193" s="23" t="n">
        <x:v>1461</x:v>
      </x:c>
      <x:c r="H193" s="23" t="n">
        <x:v>139</x:v>
      </x:c>
      <x:c r="I193" s="23"/>
      <x:c r="J193" s="20"/>
      <x:c r="K193" s="26" t="n">
        <x:v>1</x:v>
      </x:c>
      <x:c r="L193" s="26" t="n">
        <x:v>1</x:v>
      </x:c>
      <x:c r="M193" s="14" t="str">
        <x:f>IF(AND(K193=1,L193=1),"both_correct",IF(K193=1,"vanilla_only",IF(L193=1,"candidate_only","both_wrong")))</x:f>
        <x:v>both_correct</x:v>
      </x:c>
      <x:c r="N193" s="26" t="n">
        <x:v>0</x:v>
      </x:c>
      <x:c r="O193" s="26" t="n">
        <x:v>0</x:v>
      </x:c>
    </x:row>
    <x:row r="194" ht="21" customHeight="1">
      <x:c r="A194" s="14" t="str">
        <x:v>事件自闭环</x:v>
      </x:c>
      <x:c r="B194" s="14" t="str">
        <x:v>TC00000082</x:v>
      </x:c>
      <x:c r="C194" s="17" t="n">
        <x:v>176.2267</x:v>
      </x:c>
      <x:c r="D194" s="17" t="n">
        <x:v>104.1983</x:v>
      </x:c>
      <x:c r="E194" s="17" t="n">
        <x:f>C194-D194</x:f>
        <x:v>72.02839999999999</x:v>
      </x:c>
      <x:c r="F194" s="20" t="n">
        <x:f>IFERROR(E194/C194,0)</x:f>
        <x:v>0.4087258060214485</x:v>
      </x:c>
      <x:c r="G194" s="23" t="n">
        <x:v>3458</x:v>
      </x:c>
      <x:c r="H194" s="23" t="n">
        <x:v>1195</x:v>
      </x:c>
      <x:c r="I194" s="23"/>
      <x:c r="J194" s="20"/>
      <x:c r="K194" s="26" t="n">
        <x:v>1</x:v>
      </x:c>
      <x:c r="L194" s="26" t="n">
        <x:v>1</x:v>
      </x:c>
      <x:c r="M194" s="14" t="str">
        <x:f>IF(AND(K194=1,L194=1),"both_correct",IF(K194=1,"vanilla_only",IF(L194=1,"candidate_only","both_wrong")))</x:f>
        <x:v>both_correct</x:v>
      </x:c>
      <x:c r="N194" s="26" t="n">
        <x:v>0</x:v>
      </x:c>
      <x:c r="O194" s="26" t="n">
        <x:v>0</x:v>
      </x:c>
    </x:row>
    <x:row r="195" ht="21" customHeight="1">
      <x:c r="A195" s="14" t="str">
        <x:v>事件自闭环</x:v>
      </x:c>
      <x:c r="B195" s="14" t="str">
        <x:v>TC00000085</x:v>
      </x:c>
      <x:c r="C195" s="17" t="n">
        <x:v>206.9089</x:v>
      </x:c>
      <x:c r="D195" s="17" t="n">
        <x:v>77.0038</x:v>
      </x:c>
      <x:c r="E195" s="17" t="n">
        <x:f>C195-D195</x:f>
        <x:v>129.9051</x:v>
      </x:c>
      <x:c r="F195" s="20" t="n">
        <x:f>IFERROR(E195/C195,0)</x:f>
        <x:v>0.6278371785843916</x:v>
      </x:c>
      <x:c r="G195" s="23" t="n">
        <x:v>4043</x:v>
      </x:c>
      <x:c r="H195" s="23" t="n">
        <x:v>613</x:v>
      </x:c>
      <x:c r="I195" s="23"/>
      <x:c r="J195" s="20"/>
      <x:c r="K195" s="26" t="n">
        <x:v>1</x:v>
      </x:c>
      <x:c r="L195" s="26" t="n">
        <x:v>1</x:v>
      </x:c>
      <x:c r="M195" s="14" t="str">
        <x:f>IF(AND(K195=1,L195=1),"both_correct",IF(K195=1,"vanilla_only",IF(L195=1,"candidate_only","both_wrong")))</x:f>
        <x:v>both_correct</x:v>
      </x:c>
      <x:c r="N195" s="26" t="n">
        <x:v>0</x:v>
      </x:c>
      <x:c r="O195" s="26" t="n">
        <x:v>0</x:v>
      </x:c>
    </x:row>
    <x:row r="196" ht="21" customHeight="1">
      <x:c r="A196" s="14" t="str">
        <x:v>事件自闭环</x:v>
      </x:c>
      <x:c r="B196" s="14" t="str">
        <x:v>TC00000088</x:v>
      </x:c>
      <x:c r="C196" s="17" t="n">
        <x:v>94.8684</x:v>
      </x:c>
      <x:c r="D196" s="17" t="n">
        <x:v>68.7448</x:v>
      </x:c>
      <x:c r="E196" s="17" t="n">
        <x:f>C196-D196</x:f>
        <x:v>26.123599999999996</x:v>
      </x:c>
      <x:c r="F196" s="20" t="n">
        <x:f>IFERROR(E196/C196,0)</x:f>
        <x:v>0.2753667185279819</x:v>
      </x:c>
      <x:c r="G196" s="23" t="n">
        <x:v>1720</x:v>
      </x:c>
      <x:c r="H196" s="23" t="n">
        <x:v>362</x:v>
      </x:c>
      <x:c r="I196" s="23"/>
      <x:c r="J196" s="20"/>
      <x:c r="K196" s="26" t="n">
        <x:v>1</x:v>
      </x:c>
      <x:c r="L196" s="26" t="n">
        <x:v>1</x:v>
      </x:c>
      <x:c r="M196" s="14" t="str">
        <x:f>IF(AND(K196=1,L196=1),"both_correct",IF(K196=1,"vanilla_only",IF(L196=1,"candidate_only","both_wrong")))</x:f>
        <x:v>both_correct</x:v>
      </x:c>
      <x:c r="N196" s="26" t="n">
        <x:v>0</x:v>
      </x:c>
      <x:c r="O196" s="26" t="n">
        <x:v>0</x:v>
      </x:c>
    </x:row>
    <x:row r="197" ht="21" customHeight="1">
      <x:c r="A197" s="14" t="str">
        <x:v>事件自闭环</x:v>
      </x:c>
      <x:c r="B197" s="14" t="str">
        <x:v>TC00000090</x:v>
      </x:c>
      <x:c r="C197" s="17" t="n">
        <x:v>97.0607</x:v>
      </x:c>
      <x:c r="D197" s="17" t="n">
        <x:v>59.7931</x:v>
      </x:c>
      <x:c r="E197" s="17" t="n">
        <x:f>C197-D197</x:f>
        <x:v>37.267599999999995</x:v>
      </x:c>
      <x:c r="F197" s="20" t="n">
        <x:f>IFERROR(E197/C197,0)</x:f>
        <x:v>0.3839617888599608</x:v>
      </x:c>
      <x:c r="G197" s="23" t="n">
        <x:v>1794</x:v>
      </x:c>
      <x:c r="H197" s="23" t="n">
        <x:v>365</x:v>
      </x:c>
      <x:c r="I197" s="23"/>
      <x:c r="J197" s="20"/>
      <x:c r="K197" s="26" t="n">
        <x:v>1</x:v>
      </x:c>
      <x:c r="L197" s="26" t="n">
        <x:v>1</x:v>
      </x:c>
      <x:c r="M197" s="14" t="str">
        <x:f>IF(AND(K197=1,L197=1),"both_correct",IF(K197=1,"vanilla_only",IF(L197=1,"candidate_only","both_wrong")))</x:f>
        <x:v>both_correct</x:v>
      </x:c>
      <x:c r="N197" s="26" t="n">
        <x:v>0</x:v>
      </x:c>
      <x:c r="O197" s="26" t="n">
        <x:v>0</x:v>
      </x:c>
    </x:row>
    <x:row r="198" ht="21" customHeight="1">
      <x:c r="A198" s="14" t="str">
        <x:v>事件自闭环</x:v>
      </x:c>
      <x:c r="B198" s="14" t="str">
        <x:v>TC00000095</x:v>
      </x:c>
      <x:c r="C198" s="17" t="n">
        <x:v>98.995</x:v>
      </x:c>
      <x:c r="D198" s="17" t="n">
        <x:v>58.4531</x:v>
      </x:c>
      <x:c r="E198" s="17" t="n">
        <x:f>C198-D198</x:f>
        <x:v>40.541900000000005</x:v>
      </x:c>
      <x:c r="F198" s="20" t="n">
        <x:f>IFERROR(E198/C198,0)</x:f>
        <x:v>0.40953482499116123</x:v>
      </x:c>
      <x:c r="G198" s="23" t="n">
        <x:v>1675</x:v>
      </x:c>
      <x:c r="H198" s="23" t="n">
        <x:v>295</x:v>
      </x:c>
      <x:c r="I198" s="23"/>
      <x:c r="J198" s="20"/>
      <x:c r="K198" s="26" t="n">
        <x:v>0</x:v>
      </x:c>
      <x:c r="L198" s="26" t="n">
        <x:v>0</x:v>
      </x:c>
      <x:c r="M198" s="14" t="str">
        <x:f>IF(AND(K198=1,L198=1),"both_correct",IF(K198=1,"vanilla_only",IF(L198=1,"candidate_only","both_wrong")))</x:f>
        <x:v>both_wrong</x:v>
      </x:c>
      <x:c r="N198" s="26" t="n">
        <x:v>0</x:v>
      </x:c>
      <x:c r="O198" s="26" t="n">
        <x:v>0</x:v>
      </x:c>
    </x:row>
    <x:row r="199" ht="21" customHeight="1">
      <x:c r="A199" s="14" t="str">
        <x:v>事件自闭环</x:v>
      </x:c>
      <x:c r="B199" s="14" t="str">
        <x:v>TC00000098</x:v>
      </x:c>
      <x:c r="C199" s="17" t="n">
        <x:v>91.7039</x:v>
      </x:c>
      <x:c r="D199" s="17" t="n">
        <x:v>56.9453</x:v>
      </x:c>
      <x:c r="E199" s="17" t="n">
        <x:f>C199-D199</x:f>
        <x:v>34.7586</x:v>
      </x:c>
      <x:c r="F199" s="20" t="n">
        <x:f>IFERROR(E199/C199,0)</x:f>
        <x:v>0.37903077186466444</x:v>
      </x:c>
      <x:c r="G199" s="23" t="n">
        <x:v>3091</x:v>
      </x:c>
      <x:c r="H199" s="23" t="n">
        <x:v>1292</x:v>
      </x:c>
      <x:c r="I199" s="23"/>
      <x:c r="J199" s="20"/>
      <x:c r="K199" s="26" t="n">
        <x:v>1</x:v>
      </x:c>
      <x:c r="L199" s="26" t="n">
        <x:v>1</x:v>
      </x:c>
      <x:c r="M199" s="14" t="str">
        <x:f>IF(AND(K199=1,L199=1),"both_correct",IF(K199=1,"vanilla_only",IF(L199=1,"candidate_only","both_wrong")))</x:f>
        <x:v>both_correct</x:v>
      </x:c>
      <x:c r="N199" s="26" t="n">
        <x:v>0</x:v>
      </x:c>
      <x:c r="O199" s="26" t="n">
        <x:v>0</x:v>
      </x:c>
    </x:row>
    <x:row r="200" ht="21" customHeight="1">
      <x:c r="A200" s="14" t="str">
        <x:v>投诉分类英文</x:v>
      </x:c>
      <x:c r="B200" s="14" t="str">
        <x:v>MAECOM00001</x:v>
      </x:c>
      <x:c r="C200" s="17" t="n">
        <x:v>51.3611</x:v>
      </x:c>
      <x:c r="D200" s="17" t="n">
        <x:v>70.1179</x:v>
      </x:c>
      <x:c r="E200" s="17" t="n">
        <x:f>C200-D200</x:f>
        <x:v>-18.756800000000005</x:v>
      </x:c>
      <x:c r="F200" s="20" t="n">
        <x:f>IFERROR(E200/C200,0)</x:f>
        <x:v>-0.3651946706748883</x:v>
      </x:c>
      <x:c r="G200" s="23" t="n">
        <x:v>894</x:v>
      </x:c>
      <x:c r="H200" s="23" t="n">
        <x:v>12</x:v>
      </x:c>
      <x:c r="I200" s="23"/>
      <x:c r="J200" s="20"/>
      <x:c r="K200" s="26" t="n">
        <x:v>1</x:v>
      </x:c>
      <x:c r="L200" s="26" t="n">
        <x:v>1</x:v>
      </x:c>
      <x:c r="M200" s="14" t="str">
        <x:f>IF(AND(K200=1,L200=1),"both_correct",IF(K200=1,"vanilla_only",IF(L200=1,"candidate_only","both_wrong")))</x:f>
        <x:v>both_correct</x:v>
      </x:c>
      <x:c r="N200" s="26" t="n">
        <x:v>0</x:v>
      </x:c>
      <x:c r="O200" s="26" t="n">
        <x:v>0</x:v>
      </x:c>
    </x:row>
    <x:row r="201" ht="21" customHeight="1">
      <x:c r="A201" s="14" t="str">
        <x:v>投诉分类英文</x:v>
      </x:c>
      <x:c r="B201" s="14" t="str">
        <x:v>MAECOM00002</x:v>
      </x:c>
      <x:c r="C201" s="17" t="n">
        <x:v>51.3614</x:v>
      </x:c>
      <x:c r="D201" s="17" t="n">
        <x:v>26.1685</x:v>
      </x:c>
      <x:c r="E201" s="17" t="n">
        <x:f>C201-D201</x:f>
        <x:v>25.1929</x:v>
      </x:c>
      <x:c r="F201" s="20" t="n">
        <x:f>IFERROR(E201/C201,0)</x:f>
        <x:v>0.49050259533423934</x:v>
      </x:c>
      <x:c r="G201" s="23" t="n">
        <x:v>900</x:v>
      </x:c>
      <x:c r="H201" s="23" t="n">
        <x:v>11</x:v>
      </x:c>
      <x:c r="I201" s="23"/>
      <x:c r="J201" s="20"/>
      <x:c r="K201" s="26" t="n">
        <x:v>1</x:v>
      </x:c>
      <x:c r="L201" s="26" t="n">
        <x:v>1</x:v>
      </x:c>
      <x:c r="M201" s="14" t="str">
        <x:f>IF(AND(K201=1,L201=1),"both_correct",IF(K201=1,"vanilla_only",IF(L201=1,"candidate_only","both_wrong")))</x:f>
        <x:v>both_correct</x:v>
      </x:c>
      <x:c r="N201" s="26" t="n">
        <x:v>0</x:v>
      </x:c>
      <x:c r="O201" s="26" t="n">
        <x:v>0</x:v>
      </x:c>
    </x:row>
    <x:row r="202" ht="21" customHeight="1">
      <x:c r="A202" s="14" t="str">
        <x:v>投诉分类英文</x:v>
      </x:c>
      <x:c r="B202" s="14" t="str">
        <x:v>MAECOM00003</x:v>
      </x:c>
      <x:c r="C202" s="17" t="n">
        <x:v>56.0979</x:v>
      </x:c>
      <x:c r="D202" s="17" t="n">
        <x:v>27.9927</x:v>
      </x:c>
      <x:c r="E202" s="17" t="n">
        <x:f>C202-D202</x:f>
        <x:v>28.105200000000004</x:v>
      </x:c>
      <x:c r="F202" s="20" t="n">
        <x:f>IFERROR(E202/C202,0)</x:f>
        <x:v>0.5010027113314403</x:v>
      </x:c>
      <x:c r="G202" s="23" t="n">
        <x:v>963</x:v>
      </x:c>
      <x:c r="H202" s="23" t="n">
        <x:v>11</x:v>
      </x:c>
      <x:c r="I202" s="23"/>
      <x:c r="J202" s="20"/>
      <x:c r="K202" s="26" t="n">
        <x:v>1</x:v>
      </x:c>
      <x:c r="L202" s="26" t="n">
        <x:v>1</x:v>
      </x:c>
      <x:c r="M202" s="14" t="str">
        <x:f>IF(AND(K202=1,L202=1),"both_correct",IF(K202=1,"vanilla_only",IF(L202=1,"candidate_only","both_wrong")))</x:f>
        <x:v>both_correct</x:v>
      </x:c>
      <x:c r="N202" s="26" t="n">
        <x:v>0</x:v>
      </x:c>
      <x:c r="O202" s="26" t="n">
        <x:v>0</x:v>
      </x:c>
    </x:row>
    <x:row r="203" ht="21" customHeight="1">
      <x:c r="A203" s="14" t="str">
        <x:v>投诉分类英文</x:v>
      </x:c>
      <x:c r="B203" s="14" t="str">
        <x:v>MAECOM00004</x:v>
      </x:c>
      <x:c r="C203" s="17" t="n">
        <x:v>49.9278</x:v>
      </x:c>
      <x:c r="D203" s="17" t="n">
        <x:v>29.5629</x:v>
      </x:c>
      <x:c r="E203" s="17" t="n">
        <x:f>C203-D203</x:f>
        <x:v>20.3649</x:v>
      </x:c>
      <x:c r="F203" s="20" t="n">
        <x:f>IFERROR(E203/C203,0)</x:f>
        <x:v>0.4078869888118443</x:v>
      </x:c>
      <x:c r="G203" s="23" t="n">
        <x:v>894</x:v>
      </x:c>
      <x:c r="H203" s="23" t="n">
        <x:v>11</x:v>
      </x:c>
      <x:c r="I203" s="23"/>
      <x:c r="J203" s="20"/>
      <x:c r="K203" s="26" t="n">
        <x:v>1</x:v>
      </x:c>
      <x:c r="L203" s="26" t="n">
        <x:v>1</x:v>
      </x:c>
      <x:c r="M203" s="14" t="str">
        <x:f>IF(AND(K203=1,L203=1),"both_correct",IF(K203=1,"vanilla_only",IF(L203=1,"candidate_only","both_wrong")))</x:f>
        <x:v>both_correct</x:v>
      </x:c>
      <x:c r="N203" s="26" t="n">
        <x:v>0</x:v>
      </x:c>
      <x:c r="O203" s="26" t="n">
        <x:v>0</x:v>
      </x:c>
    </x:row>
    <x:row r="204" ht="21" customHeight="1">
      <x:c r="A204" s="14" t="str">
        <x:v>投诉分类英文</x:v>
      </x:c>
      <x:c r="B204" s="14" t="str">
        <x:v>MAECOM00005</x:v>
      </x:c>
      <x:c r="C204" s="17" t="n">
        <x:v>62.3104</x:v>
      </x:c>
      <x:c r="D204" s="17" t="n">
        <x:v>28.1363</x:v>
      </x:c>
      <x:c r="E204" s="17" t="n">
        <x:f>C204-D204</x:f>
        <x:v>34.1741</x:v>
      </x:c>
      <x:c r="F204" s="20" t="n">
        <x:f>IFERROR(E204/C204,0)</x:f>
        <x:v>0.5484493760271159</x:v>
      </x:c>
      <x:c r="G204" s="23" t="n">
        <x:v>1124</x:v>
      </x:c>
      <x:c r="H204" s="23" t="n">
        <x:v>11</x:v>
      </x:c>
      <x:c r="I204" s="23"/>
      <x:c r="J204" s="20"/>
      <x:c r="K204" s="26" t="n">
        <x:v>1</x:v>
      </x:c>
      <x:c r="L204" s="26" t="n">
        <x:v>1</x:v>
      </x:c>
      <x:c r="M204" s="14" t="str">
        <x:f>IF(AND(K204=1,L204=1),"both_correct",IF(K204=1,"vanilla_only",IF(L204=1,"candidate_only","both_wrong")))</x:f>
        <x:v>both_correct</x:v>
      </x:c>
      <x:c r="N204" s="26" t="n">
        <x:v>0</x:v>
      </x:c>
      <x:c r="O204" s="26" t="n">
        <x:v>0</x:v>
      </x:c>
    </x:row>
    <x:row r="205" ht="21" customHeight="1">
      <x:c r="A205" s="14" t="str">
        <x:v>投诉分类英文</x:v>
      </x:c>
      <x:c r="B205" s="14" t="str">
        <x:v>MAECOM00006</x:v>
      </x:c>
      <x:c r="C205" s="17" t="n">
        <x:v>39.1714</x:v>
      </x:c>
      <x:c r="D205" s="17" t="n">
        <x:v>49.4193</x:v>
      </x:c>
      <x:c r="E205" s="17" t="n">
        <x:f>C205-D205</x:f>
        <x:v>-10.247900000000001</x:v>
      </x:c>
      <x:c r="F205" s="20" t="n">
        <x:f>IFERROR(E205/C205,0)</x:f>
        <x:v>-0.2616168939583472</x:v>
      </x:c>
      <x:c r="G205" s="23" t="n">
        <x:v>668</x:v>
      </x:c>
      <x:c r="H205" s="23" t="n">
        <x:v>16</x:v>
      </x:c>
      <x:c r="I205" s="23"/>
      <x:c r="J205" s="20"/>
      <x:c r="K205" s="26" t="n">
        <x:v>1</x:v>
      </x:c>
      <x:c r="L205" s="26" t="n">
        <x:v>1</x:v>
      </x:c>
      <x:c r="M205" s="14" t="str">
        <x:f>IF(AND(K205=1,L205=1),"both_correct",IF(K205=1,"vanilla_only",IF(L205=1,"candidate_only","both_wrong")))</x:f>
        <x:v>both_correct</x:v>
      </x:c>
      <x:c r="N205" s="26" t="n">
        <x:v>0</x:v>
      </x:c>
      <x:c r="O205" s="26" t="n">
        <x:v>0</x:v>
      </x:c>
    </x:row>
    <x:row r="206" ht="21" customHeight="1">
      <x:c r="A206" s="14" t="str">
        <x:v>投诉分类英文</x:v>
      </x:c>
      <x:c r="B206" s="14" t="str">
        <x:v>MAECOM00007</x:v>
      </x:c>
      <x:c r="C206" s="17" t="n">
        <x:v>50.7504</x:v>
      </x:c>
      <x:c r="D206" s="17" t="n">
        <x:v>29.6191</x:v>
      </x:c>
      <x:c r="E206" s="17" t="n">
        <x:f>C206-D206</x:f>
        <x:v>21.1313</x:v>
      </x:c>
      <x:c r="F206" s="20" t="n">
        <x:f>IFERROR(E206/C206,0)</x:f>
        <x:v>0.4163770137772313</x:v>
      </x:c>
      <x:c r="G206" s="23" t="n">
        <x:v>908</x:v>
      </x:c>
      <x:c r="H206" s="23" t="n">
        <x:v>16</x:v>
      </x:c>
      <x:c r="I206" s="23"/>
      <x:c r="J206" s="20"/>
      <x:c r="K206" s="26" t="n">
        <x:v>1</x:v>
      </x:c>
      <x:c r="L206" s="26" t="n">
        <x:v>1</x:v>
      </x:c>
      <x:c r="M206" s="14" t="str">
        <x:f>IF(AND(K206=1,L206=1),"both_correct",IF(K206=1,"vanilla_only",IF(L206=1,"candidate_only","both_wrong")))</x:f>
        <x:v>both_correct</x:v>
      </x:c>
      <x:c r="N206" s="26" t="n">
        <x:v>0</x:v>
      </x:c>
      <x:c r="O206" s="26" t="n">
        <x:v>0</x:v>
      </x:c>
    </x:row>
    <x:row r="207" ht="21" customHeight="1">
      <x:c r="A207" s="14" t="str">
        <x:v>投诉分类英文</x:v>
      </x:c>
      <x:c r="B207" s="14" t="str">
        <x:v>MAECOM00008</x:v>
      </x:c>
      <x:c r="C207" s="17" t="n">
        <x:v>45.57</x:v>
      </x:c>
      <x:c r="D207" s="17" t="n">
        <x:v>32.8813</x:v>
      </x:c>
      <x:c r="E207" s="17" t="n">
        <x:f>C207-D207</x:f>
        <x:v>12.688699999999997</x:v>
      </x:c>
      <x:c r="F207" s="20" t="n">
        <x:f>IFERROR(E207/C207,0)</x:f>
        <x:v>0.27844415185429006</x:v>
      </x:c>
      <x:c r="G207" s="23" t="n">
        <x:v>822</x:v>
      </x:c>
      <x:c r="H207" s="23" t="n">
        <x:v>20</x:v>
      </x:c>
      <x:c r="I207" s="23"/>
      <x:c r="J207" s="20"/>
      <x:c r="K207" s="26" t="n">
        <x:v>1</x:v>
      </x:c>
      <x:c r="L207" s="26" t="n">
        <x:v>1</x:v>
      </x:c>
      <x:c r="M207" s="14" t="str">
        <x:f>IF(AND(K207=1,L207=1),"both_correct",IF(K207=1,"vanilla_only",IF(L207=1,"candidate_only","both_wrong")))</x:f>
        <x:v>both_correct</x:v>
      </x:c>
      <x:c r="N207" s="26" t="n">
        <x:v>0</x:v>
      </x:c>
      <x:c r="O207" s="26" t="n">
        <x:v>0</x:v>
      </x:c>
    </x:row>
    <x:row r="208" ht="21" customHeight="1">
      <x:c r="A208" s="14" t="str">
        <x:v>投诉分类英文</x:v>
      </x:c>
      <x:c r="B208" s="14" t="str">
        <x:v>MAECOM00009</x:v>
      </x:c>
      <x:c r="C208" s="17" t="n">
        <x:v>71.7534</x:v>
      </x:c>
      <x:c r="D208" s="17" t="n">
        <x:v>30.6869</x:v>
      </x:c>
      <x:c r="E208" s="17" t="n">
        <x:f>C208-D208</x:f>
        <x:v>41.0665</x:v>
      </x:c>
      <x:c r="F208" s="20" t="n">
        <x:f>IFERROR(E208/C208,0)</x:f>
        <x:v>0.5723282799142618</x:v>
      </x:c>
      <x:c r="G208" s="23" t="n">
        <x:v>1259</x:v>
      </x:c>
      <x:c r="H208" s="23" t="n">
        <x:v>16</x:v>
      </x:c>
      <x:c r="I208" s="23"/>
      <x:c r="J208" s="20"/>
      <x:c r="K208" s="26" t="n">
        <x:v>1</x:v>
      </x:c>
      <x:c r="L208" s="26" t="n">
        <x:v>1</x:v>
      </x:c>
      <x:c r="M208" s="14" t="str">
        <x:f>IF(AND(K208=1,L208=1),"both_correct",IF(K208=1,"vanilla_only",IF(L208=1,"candidate_only","both_wrong")))</x:f>
        <x:v>both_correct</x:v>
      </x:c>
      <x:c r="N208" s="26" t="n">
        <x:v>0</x:v>
      </x:c>
      <x:c r="O208" s="26" t="n">
        <x:v>0</x:v>
      </x:c>
    </x:row>
    <x:row r="209" ht="21" customHeight="1">
      <x:c r="A209" s="14" t="str">
        <x:v>投诉分类英文</x:v>
      </x:c>
      <x:c r="B209" s="14" t="str">
        <x:v>MAECOM00010</x:v>
      </x:c>
      <x:c r="C209" s="17" t="n">
        <x:v>41.0151</x:v>
      </x:c>
      <x:c r="D209" s="17" t="n">
        <x:v>29.5598</x:v>
      </x:c>
      <x:c r="E209" s="17" t="n">
        <x:f>C209-D209</x:f>
        <x:v>11.455299999999998</x:v>
      </x:c>
      <x:c r="F209" s="20" t="n">
        <x:f>IFERROR(E209/C209,0)</x:f>
        <x:v>0.2792946987816682</x:v>
      </x:c>
      <x:c r="G209" s="23" t="n">
        <x:v>740</x:v>
      </x:c>
      <x:c r="H209" s="23" t="n">
        <x:v>21</x:v>
      </x:c>
      <x:c r="I209" s="23"/>
      <x:c r="J209" s="20"/>
      <x:c r="K209" s="26" t="n">
        <x:v>1</x:v>
      </x:c>
      <x:c r="L209" s="26" t="n">
        <x:v>1</x:v>
      </x:c>
      <x:c r="M209" s="14" t="str">
        <x:f>IF(AND(K209=1,L209=1),"both_correct",IF(K209=1,"vanilla_only",IF(L209=1,"candidate_only","both_wrong")))</x:f>
        <x:v>both_correct</x:v>
      </x:c>
      <x:c r="N209" s="26" t="n">
        <x:v>0</x:v>
      </x:c>
      <x:c r="O209" s="26" t="n">
        <x:v>0</x:v>
      </x:c>
    </x:row>
    <x:row r="210" ht="21" customHeight="1">
      <x:c r="A210" s="14" t="str">
        <x:v>投诉分类英文</x:v>
      </x:c>
      <x:c r="B210" s="14" t="str">
        <x:v>MAECOM00011</x:v>
      </x:c>
      <x:c r="C210" s="17" t="n">
        <x:v>62.9411</x:v>
      </x:c>
      <x:c r="D210" s="17" t="n">
        <x:v>47.3553</x:v>
      </x:c>
      <x:c r="E210" s="17" t="n">
        <x:f>C210-D210</x:f>
        <x:v>15.585799999999999</x:v>
      </x:c>
      <x:c r="F210" s="20" t="n">
        <x:f>IFERROR(E210/C210,0)</x:f>
        <x:v>0.24762516066608303</x:v>
      </x:c>
      <x:c r="G210" s="23" t="n">
        <x:v>1099</x:v>
      </x:c>
      <x:c r="H210" s="23" t="n">
        <x:v>21</x:v>
      </x:c>
      <x:c r="I210" s="23"/>
      <x:c r="J210" s="20"/>
      <x:c r="K210" s="26" t="n">
        <x:v>1</x:v>
      </x:c>
      <x:c r="L210" s="26" t="n">
        <x:v>1</x:v>
      </x:c>
      <x:c r="M210" s="14" t="str">
        <x:f>IF(AND(K210=1,L210=1),"both_correct",IF(K210=1,"vanilla_only",IF(L210=1,"candidate_only","both_wrong")))</x:f>
        <x:v>both_correct</x:v>
      </x:c>
      <x:c r="N210" s="26" t="n">
        <x:v>0</x:v>
      </x:c>
      <x:c r="O210" s="26" t="n">
        <x:v>0</x:v>
      </x:c>
    </x:row>
    <x:row r="211" ht="21" customHeight="1">
      <x:c r="A211" s="14" t="str">
        <x:v>投诉分类英文</x:v>
      </x:c>
      <x:c r="B211" s="14" t="str">
        <x:v>MAECOM00012</x:v>
      </x:c>
      <x:c r="C211" s="17" t="n">
        <x:v>43.3108</x:v>
      </x:c>
      <x:c r="D211" s="17" t="n">
        <x:v>29.6944</x:v>
      </x:c>
      <x:c r="E211" s="17" t="n">
        <x:f>C211-D211</x:f>
        <x:v>13.616399999999999</x:v>
      </x:c>
      <x:c r="F211" s="20" t="n">
        <x:f>IFERROR(E211/C211,0)</x:f>
        <x:v>0.3143880971951568</x:v>
      </x:c>
      <x:c r="G211" s="23" t="n">
        <x:v>772</x:v>
      </x:c>
      <x:c r="H211" s="23" t="n">
        <x:v>10</x:v>
      </x:c>
      <x:c r="I211" s="23"/>
      <x:c r="J211" s="20"/>
      <x:c r="K211" s="26" t="n">
        <x:v>1</x:v>
      </x:c>
      <x:c r="L211" s="26" t="n">
        <x:v>1</x:v>
      </x:c>
      <x:c r="M211" s="14" t="str">
        <x:f>IF(AND(K211=1,L211=1),"both_correct",IF(K211=1,"vanilla_only",IF(L211=1,"candidate_only","both_wrong")))</x:f>
        <x:v>both_correct</x:v>
      </x:c>
      <x:c r="N211" s="26" t="n">
        <x:v>0</x:v>
      </x:c>
      <x:c r="O211" s="26" t="n">
        <x:v>0</x:v>
      </x:c>
    </x:row>
    <x:row r="212" ht="21" customHeight="1">
      <x:c r="A212" s="14" t="str">
        <x:v>投诉分类英文</x:v>
      </x:c>
      <x:c r="B212" s="14" t="str">
        <x:v>MAECOM00013</x:v>
      </x:c>
      <x:c r="C212" s="17" t="n">
        <x:v>44.1618</x:v>
      </x:c>
      <x:c r="D212" s="17" t="n">
        <x:v>28.248</x:v>
      </x:c>
      <x:c r="E212" s="17" t="n">
        <x:f>C212-D212</x:f>
        <x:v>15.913799999999998</x:v>
      </x:c>
      <x:c r="F212" s="20" t="n">
        <x:f>IFERROR(E212/C212,0)</x:f>
        <x:v>0.3603521595587136</x:v>
      </x:c>
      <x:c r="G212" s="23" t="n">
        <x:v>790</x:v>
      </x:c>
      <x:c r="H212" s="23" t="n">
        <x:v>16</x:v>
      </x:c>
      <x:c r="I212" s="23"/>
      <x:c r="J212" s="20"/>
      <x:c r="K212" s="26" t="n">
        <x:v>1</x:v>
      </x:c>
      <x:c r="L212" s="26" t="n">
        <x:v>1</x:v>
      </x:c>
      <x:c r="M212" s="14" t="str">
        <x:f>IF(AND(K212=1,L212=1),"both_correct",IF(K212=1,"vanilla_only",IF(L212=1,"candidate_only","both_wrong")))</x:f>
        <x:v>both_correct</x:v>
      </x:c>
      <x:c r="N212" s="26" t="n">
        <x:v>0</x:v>
      </x:c>
      <x:c r="O212" s="26" t="n">
        <x:v>0</x:v>
      </x:c>
    </x:row>
    <x:row r="213" ht="21" customHeight="1">
      <x:c r="A213" s="14" t="str">
        <x:v>投诉分类英文</x:v>
      </x:c>
      <x:c r="B213" s="14" t="str">
        <x:v>MAECOM00014</x:v>
      </x:c>
      <x:c r="C213" s="17" t="n">
        <x:v>36.6903</x:v>
      </x:c>
      <x:c r="D213" s="17" t="n">
        <x:v>32.2424</x:v>
      </x:c>
      <x:c r="E213" s="17" t="n">
        <x:f>C213-D213</x:f>
        <x:v>4.447899999999997</x:v>
      </x:c>
      <x:c r="F213" s="20" t="n">
        <x:f>IFERROR(E213/C213,0)</x:f>
        <x:v>0.12122822653398846</x:v>
      </x:c>
      <x:c r="G213" s="23" t="n">
        <x:v>662</x:v>
      </x:c>
      <x:c r="H213" s="23" t="n">
        <x:v>16</x:v>
      </x:c>
      <x:c r="I213" s="23"/>
      <x:c r="J213" s="20"/>
      <x:c r="K213" s="26" t="n">
        <x:v>1</x:v>
      </x:c>
      <x:c r="L213" s="26" t="n">
        <x:v>1</x:v>
      </x:c>
      <x:c r="M213" s="14" t="str">
        <x:f>IF(AND(K213=1,L213=1),"both_correct",IF(K213=1,"vanilla_only",IF(L213=1,"candidate_only","both_wrong")))</x:f>
        <x:v>both_correct</x:v>
      </x:c>
      <x:c r="N213" s="26" t="n">
        <x:v>0</x:v>
      </x:c>
      <x:c r="O213" s="26" t="n">
        <x:v>0</x:v>
      </x:c>
    </x:row>
    <x:row r="214" ht="21" customHeight="1">
      <x:c r="A214" s="14" t="str">
        <x:v>投诉分类英文</x:v>
      </x:c>
      <x:c r="B214" s="14" t="str">
        <x:v>MAECOM00015</x:v>
      </x:c>
      <x:c r="C214" s="17" t="n">
        <x:v>46.9372</x:v>
      </x:c>
      <x:c r="D214" s="17" t="n">
        <x:v>57.0634</x:v>
      </x:c>
      <x:c r="E214" s="17" t="n">
        <x:f>C214-D214</x:f>
        <x:v>-10.126200000000004</x:v>
      </x:c>
      <x:c r="F214" s="20" t="n">
        <x:f>IFERROR(E214/C214,0)</x:f>
        <x:v>-0.21573932829397588</x:v>
      </x:c>
      <x:c r="G214" s="23" t="n">
        <x:v>824</x:v>
      </x:c>
      <x:c r="H214" s="23" t="n">
        <x:v>12</x:v>
      </x:c>
      <x:c r="I214" s="23"/>
      <x:c r="J214" s="20"/>
      <x:c r="K214" s="26" t="n">
        <x:v>1</x:v>
      </x:c>
      <x:c r="L214" s="26" t="n">
        <x:v>1</x:v>
      </x:c>
      <x:c r="M214" s="14" t="str">
        <x:f>IF(AND(K214=1,L214=1),"both_correct",IF(K214=1,"vanilla_only",IF(L214=1,"candidate_only","both_wrong")))</x:f>
        <x:v>both_correct</x:v>
      </x:c>
      <x:c r="N214" s="26" t="n">
        <x:v>0</x:v>
      </x:c>
      <x:c r="O214" s="26" t="n">
        <x:v>0</x:v>
      </x:c>
    </x:row>
    <x:row r="215" ht="21" customHeight="1">
      <x:c r="A215" s="14" t="str">
        <x:v>投诉分类英文</x:v>
      </x:c>
      <x:c r="B215" s="14" t="str">
        <x:v>MAECOM00016</x:v>
      </x:c>
      <x:c r="C215" s="17" t="n">
        <x:v>57.934</x:v>
      </x:c>
      <x:c r="D215" s="17" t="n">
        <x:v>28.8435</x:v>
      </x:c>
      <x:c r="E215" s="17" t="n">
        <x:f>C215-D215</x:f>
        <x:v>29.0905</x:v>
      </x:c>
      <x:c r="F215" s="20" t="n">
        <x:f>IFERROR(E215/C215,0)</x:f>
        <x:v>0.5021317361135085</x:v>
      </x:c>
      <x:c r="G215" s="23" t="n">
        <x:v>1050</x:v>
      </x:c>
      <x:c r="H215" s="23" t="n">
        <x:v>21</x:v>
      </x:c>
      <x:c r="I215" s="23"/>
      <x:c r="J215" s="20"/>
      <x:c r="K215" s="26" t="n">
        <x:v>1</x:v>
      </x:c>
      <x:c r="L215" s="26" t="n">
        <x:v>1</x:v>
      </x:c>
      <x:c r="M215" s="14" t="str">
        <x:f>IF(AND(K215=1,L215=1),"both_correct",IF(K215=1,"vanilla_only",IF(L215=1,"candidate_only","both_wrong")))</x:f>
        <x:v>both_correct</x:v>
      </x:c>
      <x:c r="N215" s="26" t="n">
        <x:v>0</x:v>
      </x:c>
      <x:c r="O215" s="26" t="n">
        <x:v>0</x:v>
      </x:c>
    </x:row>
    <x:row r="216" ht="21" customHeight="1">
      <x:c r="A216" s="14" t="str">
        <x:v>投诉分类英文</x:v>
      </x:c>
      <x:c r="B216" s="14" t="str">
        <x:v>MAECOM00017</x:v>
      </x:c>
      <x:c r="C216" s="17" t="n">
        <x:v>45.932</x:v>
      </x:c>
      <x:c r="D216" s="17" t="n">
        <x:v>56.0818</x:v>
      </x:c>
      <x:c r="E216" s="17" t="n">
        <x:f>C216-D216</x:f>
        <x:v>-10.149799999999999</x:v>
      </x:c>
      <x:c r="F216" s="20" t="n">
        <x:f>IFERROR(E216/C216,0)</x:f>
        <x:v>-0.2209744840198554</x:v>
      </x:c>
      <x:c r="G216" s="23" t="n">
        <x:v>787</x:v>
      </x:c>
      <x:c r="H216" s="23" t="n">
        <x:v>9</x:v>
      </x:c>
      <x:c r="I216" s="23"/>
      <x:c r="J216" s="20"/>
      <x:c r="K216" s="26" t="n">
        <x:v>1</x:v>
      </x:c>
      <x:c r="L216" s="26" t="n">
        <x:v>1</x:v>
      </x:c>
      <x:c r="M216" s="14" t="str">
        <x:f>IF(AND(K216=1,L216=1),"both_correct",IF(K216=1,"vanilla_only",IF(L216=1,"candidate_only","both_wrong")))</x:f>
        <x:v>both_correct</x:v>
      </x:c>
      <x:c r="N216" s="26" t="n">
        <x:v>0</x:v>
      </x:c>
      <x:c r="O216" s="26" t="n">
        <x:v>0</x:v>
      </x:c>
    </x:row>
    <x:row r="217" ht="21" customHeight="1">
      <x:c r="A217" s="14" t="str">
        <x:v>投诉分类英文</x:v>
      </x:c>
      <x:c r="B217" s="14" t="str">
        <x:v>MAECOM00018</x:v>
      </x:c>
      <x:c r="C217" s="17" t="n">
        <x:v>40.7539</x:v>
      </x:c>
      <x:c r="D217" s="17" t="n">
        <x:v>27.3279</x:v>
      </x:c>
      <x:c r="E217" s="17" t="n">
        <x:f>C217-D217</x:f>
        <x:v>13.426000000000002</x:v>
      </x:c>
      <x:c r="F217" s="20" t="n">
        <x:f>IFERROR(E217/C217,0)</x:f>
        <x:v>0.3294408633284177</x:v>
      </x:c>
      <x:c r="G217" s="23" t="n">
        <x:v>694</x:v>
      </x:c>
      <x:c r="H217" s="23" t="n">
        <x:v>8</x:v>
      </x:c>
      <x:c r="I217" s="23"/>
      <x:c r="J217" s="20"/>
      <x:c r="K217" s="26" t="n">
        <x:v>1</x:v>
      </x:c>
      <x:c r="L217" s="26" t="n">
        <x:v>1</x:v>
      </x:c>
      <x:c r="M217" s="14" t="str">
        <x:f>IF(AND(K217=1,L217=1),"both_correct",IF(K217=1,"vanilla_only",IF(L217=1,"candidate_only","both_wrong")))</x:f>
        <x:v>both_correct</x:v>
      </x:c>
      <x:c r="N217" s="26" t="n">
        <x:v>0</x:v>
      </x:c>
      <x:c r="O217" s="26" t="n">
        <x:v>0</x:v>
      </x:c>
    </x:row>
    <x:row r="218" ht="21" customHeight="1">
      <x:c r="A218" s="14" t="str">
        <x:v>投诉分类英文</x:v>
      </x:c>
      <x:c r="B218" s="14" t="str">
        <x:v>MAECOM00019</x:v>
      </x:c>
      <x:c r="C218" s="17" t="n">
        <x:v>26.5769</x:v>
      </x:c>
      <x:c r="D218" s="17" t="n">
        <x:v>28.4369</x:v>
      </x:c>
      <x:c r="E218" s="17" t="n">
        <x:f>C218-D218</x:f>
        <x:v>-1.860000000000003</x:v>
      </x:c>
      <x:c r="F218" s="20" t="n">
        <x:f>IFERROR(E218/C218,0)</x:f>
        <x:v>-0.06998558898893412</x:v>
      </x:c>
      <x:c r="G218" s="23" t="n">
        <x:v>670</x:v>
      </x:c>
      <x:c r="H218" s="23" t="n">
        <x:v>9</x:v>
      </x:c>
      <x:c r="I218" s="23"/>
      <x:c r="J218" s="20"/>
      <x:c r="K218" s="26" t="n">
        <x:v>1</x:v>
      </x:c>
      <x:c r="L218" s="26" t="n">
        <x:v>1</x:v>
      </x:c>
      <x:c r="M218" s="14" t="str">
        <x:f>IF(AND(K218=1,L218=1),"both_correct",IF(K218=1,"vanilla_only",IF(L218=1,"candidate_only","both_wrong")))</x:f>
        <x:v>both_correct</x:v>
      </x:c>
      <x:c r="N218" s="26" t="n">
        <x:v>0</x:v>
      </x:c>
      <x:c r="O218" s="26" t="n">
        <x:v>0</x:v>
      </x:c>
    </x:row>
    <x:row r="219" ht="21" customHeight="1">
      <x:c r="A219" s="14" t="str">
        <x:v>投诉分类英文</x:v>
      </x:c>
      <x:c r="B219" s="14" t="str">
        <x:v>MAECOM00020</x:v>
      </x:c>
      <x:c r="C219" s="17" t="n">
        <x:v>19.0436</x:v>
      </x:c>
      <x:c r="D219" s="17" t="n">
        <x:v>19.7597</x:v>
      </x:c>
      <x:c r="E219" s="17" t="n">
        <x:f>C219-D219</x:f>
        <x:v>-0.7160999999999973</x:v>
      </x:c>
      <x:c r="F219" s="20" t="n">
        <x:f>IFERROR(E219/C219,0)</x:f>
        <x:v>-0.037603184271881224</x:v>
      </x:c>
      <x:c r="G219" s="23" t="n">
        <x:v>1061</x:v>
      </x:c>
      <x:c r="H219" s="23" t="n">
        <x:v>10</x:v>
      </x:c>
      <x:c r="I219" s="23"/>
      <x:c r="J219" s="20"/>
      <x:c r="K219" s="26" t="n">
        <x:v>1</x:v>
      </x:c>
      <x:c r="L219" s="26" t="n">
        <x:v>1</x:v>
      </x:c>
      <x:c r="M219" s="14" t="str">
        <x:f>IF(AND(K219=1,L219=1),"both_correct",IF(K219=1,"vanilla_only",IF(L219=1,"candidate_only","both_wrong")))</x:f>
        <x:v>both_correct</x:v>
      </x:c>
      <x:c r="N219" s="26" t="n">
        <x:v>0</x:v>
      </x:c>
      <x:c r="O219" s="26" t="n">
        <x:v>0</x:v>
      </x:c>
    </x:row>
    <x:row r="220" ht="21" customHeight="1">
      <x:c r="A220" s="14" t="str">
        <x:v>告警诊断结论总结</x:v>
      </x:c>
      <x:c r="B220" s="14" t="str">
        <x:v>YH0003</x:v>
      </x:c>
      <x:c r="C220" s="17" t="n">
        <x:v>110.1451</x:v>
      </x:c>
      <x:c r="D220" s="17" t="n">
        <x:v>110.3378</x:v>
      </x:c>
      <x:c r="E220" s="17" t="n">
        <x:f>C220-D220</x:f>
        <x:v>-0.1927000000000021</x:v>
      </x:c>
      <x:c r="F220" s="20" t="n">
        <x:f>IFERROR(E220/C220,0)</x:f>
        <x:v>-0.0017495104185297585</x:v>
      </x:c>
      <x:c r="G220" s="23" t="n">
        <x:v>1960</x:v>
      </x:c>
      <x:c r="H220" s="23" t="n">
        <x:v>227</x:v>
      </x:c>
      <x:c r="I220" s="23"/>
      <x:c r="J220" s="20"/>
      <x:c r="K220" s="26" t="n">
        <x:v>1</x:v>
      </x:c>
      <x:c r="L220" s="26" t="n">
        <x:v>1</x:v>
      </x:c>
      <x:c r="M220" s="14" t="str">
        <x:f>IF(AND(K220=1,L220=1),"both_correct",IF(K220=1,"vanilla_only",IF(L220=1,"candidate_only","both_wrong")))</x:f>
        <x:v>both_correct</x:v>
      </x:c>
      <x:c r="N220" s="26" t="n">
        <x:v>0</x:v>
      </x:c>
      <x:c r="O220" s="26" t="n">
        <x:v>0</x:v>
      </x:c>
    </x:row>
    <x:row r="221" ht="21" customHeight="1">
      <x:c r="A221" s="14" t="str">
        <x:v>告警诊断结论总结</x:v>
      </x:c>
      <x:c r="B221" s="14" t="str">
        <x:v>YH0006</x:v>
      </x:c>
      <x:c r="C221" s="17" t="n">
        <x:v>101.8104</x:v>
      </x:c>
      <x:c r="D221" s="17" t="n">
        <x:v>113.7588</x:v>
      </x:c>
      <x:c r="E221" s="17" t="n">
        <x:f>C221-D221</x:f>
        <x:v>-11.948399999999992</x:v>
      </x:c>
      <x:c r="F221" s="20" t="n">
        <x:f>IFERROR(E221/C221,0)</x:f>
        <x:v>-0.11735932674854428</x:v>
      </x:c>
      <x:c r="G221" s="23" t="n">
        <x:v>1895</x:v>
      </x:c>
      <x:c r="H221" s="23" t="n">
        <x:v>186</x:v>
      </x:c>
      <x:c r="I221" s="23"/>
      <x:c r="J221" s="20"/>
      <x:c r="K221" s="26" t="n">
        <x:v>1</x:v>
      </x:c>
      <x:c r="L221" s="26" t="n">
        <x:v>1</x:v>
      </x:c>
      <x:c r="M221" s="14" t="str">
        <x:f>IF(AND(K221=1,L221=1),"both_correct",IF(K221=1,"vanilla_only",IF(L221=1,"candidate_only","both_wrong")))</x:f>
        <x:v>both_correct</x:v>
      </x:c>
      <x:c r="N221" s="26" t="n">
        <x:v>0</x:v>
      </x:c>
      <x:c r="O221" s="26" t="n">
        <x:v>0</x:v>
      </x:c>
    </x:row>
    <x:row r="222" ht="21" customHeight="1">
      <x:c r="A222" s="14" t="str">
        <x:v>告警诊断结论总结</x:v>
      </x:c>
      <x:c r="B222" s="14" t="str">
        <x:v>YH0009</x:v>
      </x:c>
      <x:c r="C222" s="17" t="n">
        <x:v>126.3069</x:v>
      </x:c>
      <x:c r="D222" s="17" t="n">
        <x:v>118.4193</x:v>
      </x:c>
      <x:c r="E222" s="17" t="n">
        <x:f>C222-D222</x:f>
        <x:v>7.887599999999992</x:v>
      </x:c>
      <x:c r="F222" s="20" t="n">
        <x:f>IFERROR(E222/C222,0)</x:f>
        <x:v>0.06244789477059442</x:v>
      </x:c>
      <x:c r="G222" s="23" t="n">
        <x:v>2247</x:v>
      </x:c>
      <x:c r="H222" s="23" t="n">
        <x:v>285</x:v>
      </x:c>
      <x:c r="I222" s="23"/>
      <x:c r="J222" s="20"/>
      <x:c r="K222" s="26" t="n">
        <x:v>1</x:v>
      </x:c>
      <x:c r="L222" s="26" t="n">
        <x:v>1</x:v>
      </x:c>
      <x:c r="M222" s="14" t="str">
        <x:f>IF(AND(K222=1,L222=1),"both_correct",IF(K222=1,"vanilla_only",IF(L222=1,"candidate_only","both_wrong")))</x:f>
        <x:v>both_correct</x:v>
      </x:c>
      <x:c r="N222" s="26" t="n">
        <x:v>0</x:v>
      </x:c>
      <x:c r="O222" s="26" t="n">
        <x:v>0</x:v>
      </x:c>
    </x:row>
    <x:row r="223" ht="21" customHeight="1">
      <x:c r="A223" s="14" t="str">
        <x:v>告警诊断结论总结</x:v>
      </x:c>
      <x:c r="B223" s="14" t="str">
        <x:v>YH0012</x:v>
      </x:c>
      <x:c r="C223" s="17" t="n">
        <x:v>110.3657</x:v>
      </x:c>
      <x:c r="D223" s="17" t="n">
        <x:v>113.9833</x:v>
      </x:c>
      <x:c r="E223" s="17" t="n">
        <x:f>C223-D223</x:f>
        <x:v>-3.617599999999996</x:v>
      </x:c>
      <x:c r="F223" s="20" t="n">
        <x:f>IFERROR(E223/C223,0)</x:f>
        <x:v>-0.032778299779732255</x:v>
      </x:c>
      <x:c r="G223" s="23" t="n">
        <x:v>2024</x:v>
      </x:c>
      <x:c r="H223" s="23" t="n">
        <x:v>206</x:v>
      </x:c>
      <x:c r="I223" s="23"/>
      <x:c r="J223" s="20"/>
      <x:c r="K223" s="26" t="n">
        <x:v>1</x:v>
      </x:c>
      <x:c r="L223" s="26" t="n">
        <x:v>1</x:v>
      </x:c>
      <x:c r="M223" s="14" t="str">
        <x:f>IF(AND(K223=1,L223=1),"both_correct",IF(K223=1,"vanilla_only",IF(L223=1,"candidate_only","both_wrong")))</x:f>
        <x:v>both_correct</x:v>
      </x:c>
      <x:c r="N223" s="26" t="n">
        <x:v>0</x:v>
      </x:c>
      <x:c r="O223" s="26" t="n">
        <x:v>0</x:v>
      </x:c>
    </x:row>
    <x:row r="224" ht="21" customHeight="1">
      <x:c r="A224" s="14" t="str">
        <x:v>告警诊断结论总结</x:v>
      </x:c>
      <x:c r="B224" s="14" t="str">
        <x:v>YH0015</x:v>
      </x:c>
      <x:c r="C224" s="17" t="n">
        <x:v>110.9328</x:v>
      </x:c>
      <x:c r="D224" s="17" t="n">
        <x:v>106.7199</x:v>
      </x:c>
      <x:c r="E224" s="17" t="n">
        <x:f>C224-D224</x:f>
        <x:v>4.212900000000005</x:v>
      </x:c>
      <x:c r="F224" s="20" t="n">
        <x:f>IFERROR(E224/C224,0)</x:f>
        <x:v>0.037977045562719094</x:v>
      </x:c>
      <x:c r="G224" s="23" t="n">
        <x:v>1974</x:v>
      </x:c>
      <x:c r="H224" s="23" t="n">
        <x:v>163</x:v>
      </x:c>
      <x:c r="I224" s="23"/>
      <x:c r="J224" s="20"/>
      <x:c r="K224" s="26" t="n">
        <x:v>1</x:v>
      </x:c>
      <x:c r="L224" s="26" t="n">
        <x:v>1</x:v>
      </x:c>
      <x:c r="M224" s="14" t="str">
        <x:f>IF(AND(K224=1,L224=1),"both_correct",IF(K224=1,"vanilla_only",IF(L224=1,"candidate_only","both_wrong")))</x:f>
        <x:v>both_correct</x:v>
      </x:c>
      <x:c r="N224" s="26" t="n">
        <x:v>0</x:v>
      </x:c>
      <x:c r="O224" s="26" t="n">
        <x:v>0</x:v>
      </x:c>
    </x:row>
    <x:row r="225" ht="21" customHeight="1">
      <x:c r="A225" s="14" t="str">
        <x:v>告警诊断结论总结</x:v>
      </x:c>
      <x:c r="B225" s="14" t="str">
        <x:v>YH0018</x:v>
      </x:c>
      <x:c r="C225" s="17" t="n">
        <x:v>111.8099</x:v>
      </x:c>
      <x:c r="D225" s="17" t="n">
        <x:v>103.5201</x:v>
      </x:c>
      <x:c r="E225" s="17" t="n">
        <x:f>C225-D225</x:f>
        <x:v>8.2898</x:v>
      </x:c>
      <x:c r="F225" s="20" t="n">
        <x:f>IFERROR(E225/C225,0)</x:f>
        <x:v>0.07414191408810847</x:v>
      </x:c>
      <x:c r="G225" s="23" t="n">
        <x:v>2060</x:v>
      </x:c>
      <x:c r="H225" s="23" t="n">
        <x:v>182</x:v>
      </x:c>
      <x:c r="I225" s="23"/>
      <x:c r="J225" s="20"/>
      <x:c r="K225" s="26" t="n">
        <x:v>1</x:v>
      </x:c>
      <x:c r="L225" s="26" t="n">
        <x:v>1</x:v>
      </x:c>
      <x:c r="M225" s="14" t="str">
        <x:f>IF(AND(K225=1,L225=1),"both_correct",IF(K225=1,"vanilla_only",IF(L225=1,"candidate_only","both_wrong")))</x:f>
        <x:v>both_correct</x:v>
      </x:c>
      <x:c r="N225" s="26" t="n">
        <x:v>0</x:v>
      </x:c>
      <x:c r="O225" s="26" t="n">
        <x:v>0</x:v>
      </x:c>
    </x:row>
    <x:row r="226" ht="21" customHeight="1">
      <x:c r="A226" s="14" t="str">
        <x:v>告警诊断结论总结</x:v>
      </x:c>
      <x:c r="B226" s="14" t="str">
        <x:v>YH0021</x:v>
      </x:c>
      <x:c r="C226" s="17" t="n">
        <x:v>123.4173</x:v>
      </x:c>
      <x:c r="D226" s="17" t="n">
        <x:v>101.1817</x:v>
      </x:c>
      <x:c r="E226" s="17" t="n">
        <x:f>C226-D226</x:f>
        <x:v>22.23559999999999</x:v>
      </x:c>
      <x:c r="F226" s="20" t="n">
        <x:f>IFERROR(E226/C226,0)</x:f>
        <x:v>0.1801659896951237</x:v>
      </x:c>
      <x:c r="G226" s="23" t="n">
        <x:v>2224</x:v>
      </x:c>
      <x:c r="H226" s="23" t="n">
        <x:v>182</x:v>
      </x:c>
      <x:c r="I226" s="23"/>
      <x:c r="J226" s="20"/>
      <x:c r="K226" s="26" t="n">
        <x:v>1</x:v>
      </x:c>
      <x:c r="L226" s="26" t="n">
        <x:v>1</x:v>
      </x:c>
      <x:c r="M226" s="14" t="str">
        <x:f>IF(AND(K226=1,L226=1),"both_correct",IF(K226=1,"vanilla_only",IF(L226=1,"candidate_only","both_wrong")))</x:f>
        <x:v>both_correct</x:v>
      </x:c>
      <x:c r="N226" s="26" t="n">
        <x:v>0</x:v>
      </x:c>
      <x:c r="O226" s="26" t="n">
        <x:v>0</x:v>
      </x:c>
    </x:row>
    <x:row r="227" ht="21" customHeight="1">
      <x:c r="A227" s="14" t="str">
        <x:v>告警诊断结论总结</x:v>
      </x:c>
      <x:c r="B227" s="14" t="str">
        <x:v>YH0024</x:v>
      </x:c>
      <x:c r="C227" s="17" t="n">
        <x:v>113.7404</x:v>
      </x:c>
      <x:c r="D227" s="17" t="n">
        <x:v>110.1023</x:v>
      </x:c>
      <x:c r="E227" s="17" t="n">
        <x:f>C227-D227</x:f>
        <x:v>3.6380999999999943</x:v>
      </x:c>
      <x:c r="F227" s="20" t="n">
        <x:f>IFERROR(E227/C227,0)</x:f>
        <x:v>0.03198599618077653</x:v>
      </x:c>
      <x:c r="G227" s="23" t="n">
        <x:v>2062</x:v>
      </x:c>
      <x:c r="H227" s="23" t="n">
        <x:v>192</x:v>
      </x:c>
      <x:c r="I227" s="23"/>
      <x:c r="J227" s="20"/>
      <x:c r="K227" s="26" t="n">
        <x:v>1</x:v>
      </x:c>
      <x:c r="L227" s="26" t="n">
        <x:v>1</x:v>
      </x:c>
      <x:c r="M227" s="14" t="str">
        <x:f>IF(AND(K227=1,L227=1),"both_correct",IF(K227=1,"vanilla_only",IF(L227=1,"candidate_only","both_wrong")))</x:f>
        <x:v>both_correct</x:v>
      </x:c>
      <x:c r="N227" s="26" t="n">
        <x:v>0</x:v>
      </x:c>
      <x:c r="O227" s="26" t="n">
        <x:v>0</x:v>
      </x:c>
    </x:row>
    <x:row r="228" ht="21" customHeight="1">
      <x:c r="A228" s="14" t="str">
        <x:v>告警诊断结论总结</x:v>
      </x:c>
      <x:c r="B228" s="14" t="str">
        <x:v>YH0027</x:v>
      </x:c>
      <x:c r="C228" s="17" t="n">
        <x:v>95.7728</x:v>
      </x:c>
      <x:c r="D228" s="17" t="n">
        <x:v>101.9966</x:v>
      </x:c>
      <x:c r="E228" s="17" t="n">
        <x:f>C228-D228</x:f>
        <x:v>-6.223799999999997</x:v>
      </x:c>
      <x:c r="F228" s="20" t="n">
        <x:f>IFERROR(E228/C228,0)</x:f>
        <x:v>-0.06498504794680741</x:v>
      </x:c>
      <x:c r="G228" s="23" t="n">
        <x:v>1740</x:v>
      </x:c>
      <x:c r="H228" s="23" t="n">
        <x:v>160</x:v>
      </x:c>
      <x:c r="I228" s="23"/>
      <x:c r="J228" s="20"/>
      <x:c r="K228" s="26" t="n">
        <x:v>1</x:v>
      </x:c>
      <x:c r="L228" s="26" t="n">
        <x:v>1</x:v>
      </x:c>
      <x:c r="M228" s="14" t="str">
        <x:f>IF(AND(K228=1,L228=1),"both_correct",IF(K228=1,"vanilla_only",IF(L228=1,"candidate_only","both_wrong")))</x:f>
        <x:v>both_correct</x:v>
      </x:c>
      <x:c r="N228" s="26" t="n">
        <x:v>0</x:v>
      </x:c>
      <x:c r="O228" s="26" t="n">
        <x:v>0</x:v>
      </x:c>
    </x:row>
    <x:row r="229" ht="21" customHeight="1">
      <x:c r="A229" s="14" t="str">
        <x:v>告警诊断结论总结</x:v>
      </x:c>
      <x:c r="B229" s="14" t="str">
        <x:v>YH0030</x:v>
      </x:c>
      <x:c r="C229" s="17" t="n">
        <x:v>116.6899</x:v>
      </x:c>
      <x:c r="D229" s="17" t="n">
        <x:v>81.2705</x:v>
      </x:c>
      <x:c r="E229" s="17" t="n">
        <x:f>C229-D229</x:f>
        <x:v>35.419399999999996</x:v>
      </x:c>
      <x:c r="F229" s="20" t="n">
        <x:f>IFERROR(E229/C229,0)</x:f>
        <x:v>0.3035344104331223</x:v>
      </x:c>
      <x:c r="G229" s="23" t="n">
        <x:v>2059</x:v>
      </x:c>
      <x:c r="H229" s="23" t="n">
        <x:v>148</x:v>
      </x:c>
      <x:c r="I229" s="23"/>
      <x:c r="J229" s="20"/>
      <x:c r="K229" s="26" t="n">
        <x:v>1</x:v>
      </x:c>
      <x:c r="L229" s="26" t="n">
        <x:v>1</x:v>
      </x:c>
      <x:c r="M229" s="14" t="str">
        <x:f>IF(AND(K229=1,L229=1),"both_correct",IF(K229=1,"vanilla_only",IF(L229=1,"candidate_only","both_wrong")))</x:f>
        <x:v>both_correct</x:v>
      </x:c>
      <x:c r="N229" s="26" t="n">
        <x:v>0</x:v>
      </x:c>
      <x:c r="O229" s="26" t="n">
        <x:v>0</x:v>
      </x:c>
    </x:row>
    <x:row r="230" ht="21" customHeight="1">
      <x:c r="A230" s="14" t="str">
        <x:v>告警诊断结论总结</x:v>
      </x:c>
      <x:c r="B230" s="14" t="str">
        <x:v>YH0033</x:v>
      </x:c>
      <x:c r="C230" s="17" t="n">
        <x:v>100.7888</x:v>
      </x:c>
      <x:c r="D230" s="17" t="n">
        <x:v>102.3819</x:v>
      </x:c>
      <x:c r="E230" s="17" t="n">
        <x:f>C230-D230</x:f>
        <x:v>-1.5931000000000068</x:v>
      </x:c>
      <x:c r="F230" s="20" t="n">
        <x:f>IFERROR(E230/C230,0)</x:f>
        <x:v>-0.01580631974981354</x:v>
      </x:c>
      <x:c r="G230" s="23" t="n">
        <x:v>1872</x:v>
      </x:c>
      <x:c r="H230" s="23" t="n">
        <x:v>172</x:v>
      </x:c>
      <x:c r="I230" s="23"/>
      <x:c r="J230" s="20"/>
      <x:c r="K230" s="26" t="n">
        <x:v>1</x:v>
      </x:c>
      <x:c r="L230" s="26" t="n">
        <x:v>1</x:v>
      </x:c>
      <x:c r="M230" s="14" t="str">
        <x:f>IF(AND(K230=1,L230=1),"both_correct",IF(K230=1,"vanilla_only",IF(L230=1,"candidate_only","both_wrong")))</x:f>
        <x:v>both_correct</x:v>
      </x:c>
      <x:c r="N230" s="26" t="n">
        <x:v>0</x:v>
      </x:c>
      <x:c r="O230" s="26" t="n">
        <x:v>0</x:v>
      </x:c>
    </x:row>
    <x:row r="231" ht="21" customHeight="1">
      <x:c r="A231" s="14" t="str">
        <x:v>告警诊断结论总结</x:v>
      </x:c>
      <x:c r="B231" s="14" t="str">
        <x:v>YH0036</x:v>
      </x:c>
      <x:c r="C231" s="17" t="n">
        <x:v>99.5227</x:v>
      </x:c>
      <x:c r="D231" s="17" t="n">
        <x:v>87.9606</x:v>
      </x:c>
      <x:c r="E231" s="17" t="n">
        <x:f>C231-D231</x:f>
        <x:v>11.562100000000001</x:v>
      </x:c>
      <x:c r="F231" s="20" t="n">
        <x:f>IFERROR(E231/C231,0)</x:f>
        <x:v>0.11617550568865194</x:v>
      </x:c>
      <x:c r="G231" s="23" t="n">
        <x:v>1937</x:v>
      </x:c>
      <x:c r="H231" s="23" t="n">
        <x:v>165</x:v>
      </x:c>
      <x:c r="I231" s="23"/>
      <x:c r="J231" s="20"/>
      <x:c r="K231" s="26" t="n">
        <x:v>1</x:v>
      </x:c>
      <x:c r="L231" s="26" t="n">
        <x:v>1</x:v>
      </x:c>
      <x:c r="M231" s="14" t="str">
        <x:f>IF(AND(K231=1,L231=1),"both_correct",IF(K231=1,"vanilla_only",IF(L231=1,"candidate_only","both_wrong")))</x:f>
        <x:v>both_correct</x:v>
      </x:c>
      <x:c r="N231" s="26" t="n">
        <x:v>0</x:v>
      </x:c>
      <x:c r="O231" s="26" t="n">
        <x:v>0</x:v>
      </x:c>
    </x:row>
    <x:row r="232" ht="21" customHeight="1">
      <x:c r="A232" s="14" t="str">
        <x:v>告警诊断结论总结</x:v>
      </x:c>
      <x:c r="B232" s="14" t="str">
        <x:v>YH0039</x:v>
      </x:c>
      <x:c r="C232" s="17" t="n">
        <x:v>43.5165</x:v>
      </x:c>
      <x:c r="D232" s="17" t="n">
        <x:v>30.4024</x:v>
      </x:c>
      <x:c r="E232" s="17" t="n">
        <x:f>C232-D232</x:f>
        <x:v>13.1141</x:v>
      </x:c>
      <x:c r="F232" s="20" t="n">
        <x:f>IFERROR(E232/C232,0)</x:f>
        <x:v>0.3013592545356359</x:v>
      </x:c>
      <x:c r="G232" s="23" t="n">
        <x:v>1852</x:v>
      </x:c>
      <x:c r="H232" s="23" t="n">
        <x:v>142</x:v>
      </x:c>
      <x:c r="I232" s="23"/>
      <x:c r="J232" s="20"/>
      <x:c r="K232" s="26" t="n">
        <x:v>1</x:v>
      </x:c>
      <x:c r="L232" s="26" t="n">
        <x:v>1</x:v>
      </x:c>
      <x:c r="M232" s="14" t="str">
        <x:f>IF(AND(K232=1,L232=1),"both_correct",IF(K232=1,"vanilla_only",IF(L232=1,"candidate_only","both_wrong")))</x:f>
        <x:v>both_correct</x:v>
      </x:c>
      <x:c r="N232" s="26" t="n">
        <x:v>0</x:v>
      </x:c>
      <x:c r="O232" s="26" t="n">
        <x:v>0</x:v>
      </x:c>
    </x:row>
    <x:row r="233" ht="21" customHeight="1">
      <x:c r="A233" s="14" t="str">
        <x:v>NetQAD E2E 单步规划</x:v>
      </x:c>
      <x:c r="B233" s="14" t="str">
        <x:v>TC00000001</x:v>
      </x:c>
      <x:c r="C233" s="17" t="n">
        <x:v>64.3541</x:v>
      </x:c>
      <x:c r="D233" s="17" t="n">
        <x:v>84.6493</x:v>
      </x:c>
      <x:c r="E233" s="17" t="n">
        <x:f>C233-D233</x:f>
        <x:v>-20.295199999999994</x:v>
      </x:c>
      <x:c r="F233" s="20" t="n">
        <x:f>IFERROR(E233/C233,0)</x:f>
        <x:v>-0.3153676300344499</x:v>
      </x:c>
      <x:c r="G233" s="23" t="n">
        <x:v>1043</x:v>
      </x:c>
      <x:c r="H233" s="23" t="n">
        <x:v>110</x:v>
      </x:c>
      <x:c r="I233" s="23"/>
      <x:c r="J233" s="20"/>
      <x:c r="K233" s="26" t="n">
        <x:v>1</x:v>
      </x:c>
      <x:c r="L233" s="26" t="n">
        <x:v>1</x:v>
      </x:c>
      <x:c r="M233" s="14" t="str">
        <x:f>IF(AND(K233=1,L233=1),"both_correct",IF(K233=1,"vanilla_only",IF(L233=1,"candidate_only","both_wrong")))</x:f>
        <x:v>both_correct</x:v>
      </x:c>
      <x:c r="N233" s="26" t="n">
        <x:v>0</x:v>
      </x:c>
      <x:c r="O233" s="26" t="n">
        <x:v>0</x:v>
      </x:c>
    </x:row>
    <x:row r="234" ht="21" customHeight="1">
      <x:c r="A234" s="14" t="str">
        <x:v>NetQAD E2E 单步规划</x:v>
      </x:c>
      <x:c r="B234" s="14" t="str">
        <x:v>TC00000002</x:v>
      </x:c>
      <x:c r="C234" s="17" t="n">
        <x:v>48.5839</x:v>
      </x:c>
      <x:c r="D234" s="17" t="n">
        <x:v>54.8627</x:v>
      </x:c>
      <x:c r="E234" s="17" t="n">
        <x:f>C234-D234</x:f>
        <x:v>-6.278799999999997</x:v>
      </x:c>
      <x:c r="F234" s="20" t="n">
        <x:f>IFERROR(E234/C234,0)</x:f>
        <x:v>-0.12923622846251528</x:v>
      </x:c>
      <x:c r="G234" s="23" t="n">
        <x:v>871</x:v>
      </x:c>
      <x:c r="H234" s="23" t="n">
        <x:v>72</x:v>
      </x:c>
      <x:c r="I234" s="23"/>
      <x:c r="J234" s="20"/>
      <x:c r="K234" s="26" t="n">
        <x:v>1</x:v>
      </x:c>
      <x:c r="L234" s="26" t="n">
        <x:v>1</x:v>
      </x:c>
      <x:c r="M234" s="14" t="str">
        <x:f>IF(AND(K234=1,L234=1),"both_correct",IF(K234=1,"vanilla_only",IF(L234=1,"candidate_only","both_wrong")))</x:f>
        <x:v>both_correct</x:v>
      </x:c>
      <x:c r="N234" s="26" t="n">
        <x:v>0</x:v>
      </x:c>
      <x:c r="O234" s="26" t="n">
        <x:v>0</x:v>
      </x:c>
    </x:row>
    <x:row r="235" ht="21" customHeight="1">
      <x:c r="A235" s="14" t="str">
        <x:v>NetQAD E2E 单步规划</x:v>
      </x:c>
      <x:c r="B235" s="14" t="str">
        <x:v>TC00000003</x:v>
      </x:c>
      <x:c r="C235" s="17" t="n">
        <x:v>54.7376</x:v>
      </x:c>
      <x:c r="D235" s="17" t="n">
        <x:v>70.5516</x:v>
      </x:c>
      <x:c r="E235" s="17" t="n">
        <x:f>C235-D235</x:f>
        <x:v>-15.813999999999993</x:v>
      </x:c>
      <x:c r="F235" s="20" t="n">
        <x:f>IFERROR(E235/C235,0)</x:f>
        <x:v>-0.2889056151530208</x:v>
      </x:c>
      <x:c r="G235" s="23" t="n">
        <x:v>911</x:v>
      </x:c>
      <x:c r="H235" s="23" t="n">
        <x:v>96</x:v>
      </x:c>
      <x:c r="I235" s="23"/>
      <x:c r="J235" s="20"/>
      <x:c r="K235" s="26" t="n">
        <x:v>1</x:v>
      </x:c>
      <x:c r="L235" s="26" t="n">
        <x:v>1</x:v>
      </x:c>
      <x:c r="M235" s="14" t="str">
        <x:f>IF(AND(K235=1,L235=1),"both_correct",IF(K235=1,"vanilla_only",IF(L235=1,"candidate_only","both_wrong")))</x:f>
        <x:v>both_correct</x:v>
      </x:c>
      <x:c r="N235" s="26" t="n">
        <x:v>0</x:v>
      </x:c>
      <x:c r="O235" s="26" t="n">
        <x:v>0</x:v>
      </x:c>
    </x:row>
    <x:row r="236" ht="21" customHeight="1">
      <x:c r="A236" s="14" t="str">
        <x:v>NetQAD E2E 单步规划</x:v>
      </x:c>
      <x:c r="B236" s="14" t="str">
        <x:v>TC00000004</x:v>
      </x:c>
      <x:c r="C236" s="17" t="n">
        <x:v>55.7491</x:v>
      </x:c>
      <x:c r="D236" s="17" t="n">
        <x:v>72.256</x:v>
      </x:c>
      <x:c r="E236" s="17" t="n">
        <x:f>C236-D236</x:f>
        <x:v>-16.5069</x:v>
      </x:c>
      <x:c r="F236" s="20" t="n">
        <x:f>IFERROR(E236/C236,0)</x:f>
        <x:v>-0.2960926723480738</x:v>
      </x:c>
      <x:c r="G236" s="23" t="n">
        <x:v>959</x:v>
      </x:c>
      <x:c r="H236" s="23" t="n">
        <x:v>106</x:v>
      </x:c>
      <x:c r="I236" s="23"/>
      <x:c r="J236" s="20"/>
      <x:c r="K236" s="26" t="n">
        <x:v>1</x:v>
      </x:c>
      <x:c r="L236" s="26" t="n">
        <x:v>1</x:v>
      </x:c>
      <x:c r="M236" s="14" t="str">
        <x:f>IF(AND(K236=1,L236=1),"both_correct",IF(K236=1,"vanilla_only",IF(L236=1,"candidate_only","both_wrong")))</x:f>
        <x:v>both_correct</x:v>
      </x:c>
      <x:c r="N236" s="26" t="n">
        <x:v>0</x:v>
      </x:c>
      <x:c r="O236" s="26" t="n">
        <x:v>0</x:v>
      </x:c>
    </x:row>
    <x:row r="237" ht="21" customHeight="1">
      <x:c r="A237" s="14" t="str">
        <x:v>NetQAD E2E 单步规划</x:v>
      </x:c>
      <x:c r="B237" s="14" t="str">
        <x:v>TC00000005</x:v>
      </x:c>
      <x:c r="C237" s="17" t="n">
        <x:v>60.9064</x:v>
      </x:c>
      <x:c r="D237" s="17" t="n">
        <x:v>54.0998</x:v>
      </x:c>
      <x:c r="E237" s="17" t="n">
        <x:f>C237-D237</x:f>
        <x:v>6.806599999999996</x:v>
      </x:c>
      <x:c r="F237" s="20" t="n">
        <x:f>IFERROR(E237/C237,0)</x:f>
        <x:v>0.11175508649337337</x:v>
      </x:c>
      <x:c r="G237" s="23" t="n">
        <x:v>1038</x:v>
      </x:c>
      <x:c r="H237" s="23" t="n">
        <x:v>115</x:v>
      </x:c>
      <x:c r="I237" s="23"/>
      <x:c r="J237" s="20"/>
      <x:c r="K237" s="26" t="n">
        <x:v>1</x:v>
      </x:c>
      <x:c r="L237" s="26" t="n">
        <x:v>1</x:v>
      </x:c>
      <x:c r="M237" s="14" t="str">
        <x:f>IF(AND(K237=1,L237=1),"both_correct",IF(K237=1,"vanilla_only",IF(L237=1,"candidate_only","both_wrong")))</x:f>
        <x:v>both_correct</x:v>
      </x:c>
      <x:c r="N237" s="26" t="n">
        <x:v>0</x:v>
      </x:c>
      <x:c r="O237" s="26" t="n">
        <x:v>0</x:v>
      </x:c>
    </x:row>
    <x:row r="238" ht="21" customHeight="1">
      <x:c r="A238" s="14" t="str">
        <x:v>NetQAD E2E 单步规划</x:v>
      </x:c>
      <x:c r="B238" s="14" t="str">
        <x:v>TC00000006</x:v>
      </x:c>
      <x:c r="C238" s="17" t="n">
        <x:v>60.5863</x:v>
      </x:c>
      <x:c r="D238" s="17" t="n">
        <x:v>54.4387</x:v>
      </x:c>
      <x:c r="E238" s="17" t="n">
        <x:f>C238-D238</x:f>
        <x:v>6.147600000000004</x:v>
      </x:c>
      <x:c r="F238" s="20" t="n">
        <x:f>IFERROR(E238/C238,0)</x:f>
        <x:v>0.10146848379914278</x:v>
      </x:c>
      <x:c r="G238" s="23" t="n">
        <x:v>1067</x:v>
      </x:c>
      <x:c r="H238" s="23" t="n">
        <x:v>104</x:v>
      </x:c>
      <x:c r="I238" s="23"/>
      <x:c r="J238" s="20"/>
      <x:c r="K238" s="26" t="n">
        <x:v>1</x:v>
      </x:c>
      <x:c r="L238" s="26" t="n">
        <x:v>1</x:v>
      </x:c>
      <x:c r="M238" s="14" t="str">
        <x:f>IF(AND(K238=1,L238=1),"both_correct",IF(K238=1,"vanilla_only",IF(L238=1,"candidate_only","both_wrong")))</x:f>
        <x:v>both_correct</x:v>
      </x:c>
      <x:c r="N238" s="26" t="n">
        <x:v>0</x:v>
      </x:c>
      <x:c r="O238" s="26" t="n">
        <x:v>0</x:v>
      </x:c>
    </x:row>
    <x:row r="239" ht="21" customHeight="1">
      <x:c r="A239" s="14" t="str">
        <x:v>NetQAD E2E 单步规划</x:v>
      </x:c>
      <x:c r="B239" s="14" t="str">
        <x:v>TC00000007</x:v>
      </x:c>
      <x:c r="C239" s="17" t="n">
        <x:v>56.7674</x:v>
      </x:c>
      <x:c r="D239" s="17" t="n">
        <x:v>56.6307</x:v>
      </x:c>
      <x:c r="E239" s="17" t="n">
        <x:f>C239-D239</x:f>
        <x:v>0.1367000000000047</x:v>
      </x:c>
      <x:c r="F239" s="20" t="n">
        <x:f>IFERROR(E239/C239,0)</x:f>
        <x:v>0.0024080722386440935</x:v>
      </x:c>
      <x:c r="G239" s="23" t="n">
        <x:v>982</x:v>
      </x:c>
      <x:c r="H239" s="23" t="n">
        <x:v>86</x:v>
      </x:c>
      <x:c r="I239" s="23"/>
      <x:c r="J239" s="20"/>
      <x:c r="K239" s="26" t="n">
        <x:v>1</x:v>
      </x:c>
      <x:c r="L239" s="26" t="n">
        <x:v>1</x:v>
      </x:c>
      <x:c r="M239" s="14" t="str">
        <x:f>IF(AND(K239=1,L239=1),"both_correct",IF(K239=1,"vanilla_only",IF(L239=1,"candidate_only","both_wrong")))</x:f>
        <x:v>both_correct</x:v>
      </x:c>
      <x:c r="N239" s="26" t="n">
        <x:v>0</x:v>
      </x:c>
      <x:c r="O239" s="26" t="n">
        <x:v>0</x:v>
      </x:c>
    </x:row>
    <x:row r="240" ht="21" customHeight="1">
      <x:c r="A240" s="14" t="str">
        <x:v>NetQAD E2E 单步规划</x:v>
      </x:c>
      <x:c r="B240" s="14" t="str">
        <x:v>TC00000008</x:v>
      </x:c>
      <x:c r="C240" s="17" t="n">
        <x:v>62.4167</x:v>
      </x:c>
      <x:c r="D240" s="17" t="n">
        <x:v>32.0264</x:v>
      </x:c>
      <x:c r="E240" s="17" t="n">
        <x:f>C240-D240</x:f>
        <x:v>30.390299999999996</x:v>
      </x:c>
      <x:c r="F240" s="20" t="n">
        <x:f>IFERROR(E240/C240,0)</x:f>
        <x:v>0.4868937319659642</x:v>
      </x:c>
      <x:c r="G240" s="23" t="n">
        <x:v>1056</x:v>
      </x:c>
      <x:c r="H240" s="23" t="n">
        <x:v>116</x:v>
      </x:c>
      <x:c r="I240" s="23"/>
      <x:c r="J240" s="20"/>
      <x:c r="K240" s="26" t="n">
        <x:v>1</x:v>
      </x:c>
      <x:c r="L240" s="26" t="n">
        <x:v>1</x:v>
      </x:c>
      <x:c r="M240" s="14" t="str">
        <x:f>IF(AND(K240=1,L240=1),"both_correct",IF(K240=1,"vanilla_only",IF(L240=1,"candidate_only","both_wrong")))</x:f>
        <x:v>both_correct</x:v>
      </x:c>
      <x:c r="N240" s="26" t="n">
        <x:v>0</x:v>
      </x:c>
      <x:c r="O240" s="26" t="n">
        <x:v>0</x:v>
      </x:c>
    </x:row>
    <x:row r="241" ht="21" customHeight="1">
      <x:c r="A241" s="14" t="str">
        <x:v>NetQAD E2E 单步规划</x:v>
      </x:c>
      <x:c r="B241" s="14" t="str">
        <x:v>TC00000009</x:v>
      </x:c>
      <x:c r="C241" s="17" t="n">
        <x:v>58.8823</x:v>
      </x:c>
      <x:c r="D241" s="17" t="n">
        <x:v>69.0614</x:v>
      </x:c>
      <x:c r="E241" s="17" t="n">
        <x:f>C241-D241</x:f>
        <x:v>-10.179100000000005</x:v>
      </x:c>
      <x:c r="F241" s="20" t="n">
        <x:f>IFERROR(E241/C241,0)</x:f>
        <x:v>-0.17287198360118414</x:v>
      </x:c>
      <x:c r="G241" s="23" t="n">
        <x:v>963</x:v>
      </x:c>
      <x:c r="H241" s="23" t="n">
        <x:v>76</x:v>
      </x:c>
      <x:c r="I241" s="23"/>
      <x:c r="J241" s="20"/>
      <x:c r="K241" s="26" t="n">
        <x:v>1</x:v>
      </x:c>
      <x:c r="L241" s="26" t="n">
        <x:v>1</x:v>
      </x:c>
      <x:c r="M241" s="14" t="str">
        <x:f>IF(AND(K241=1,L241=1),"both_correct",IF(K241=1,"vanilla_only",IF(L241=1,"candidate_only","both_wrong")))</x:f>
        <x:v>both_correct</x:v>
      </x:c>
      <x:c r="N241" s="26" t="n">
        <x:v>0</x:v>
      </x:c>
      <x:c r="O241" s="26" t="n">
        <x:v>0</x:v>
      </x:c>
    </x:row>
    <x:row r="242" ht="21" customHeight="1">
      <x:c r="A242" s="14" t="str">
        <x:v>NetQAD E2E 单步规划</x:v>
      </x:c>
      <x:c r="B242" s="14" t="str">
        <x:v>TC00000010</x:v>
      </x:c>
      <x:c r="C242" s="17" t="n">
        <x:v>60.2809</x:v>
      </x:c>
      <x:c r="D242" s="17" t="n">
        <x:v>81.6863</x:v>
      </x:c>
      <x:c r="E242" s="17" t="n">
        <x:f>C242-D242</x:f>
        <x:v>-21.4054</x:v>
      </x:c>
      <x:c r="F242" s="20" t="n">
        <x:f>IFERROR(E242/C242,0)</x:f>
        <x:v>-0.35509423382862565</x:v>
      </x:c>
      <x:c r="G242" s="23" t="n">
        <x:v>994</x:v>
      </x:c>
      <x:c r="H242" s="23" t="n">
        <x:v>103</x:v>
      </x:c>
      <x:c r="I242" s="23"/>
      <x:c r="J242" s="20"/>
      <x:c r="K242" s="26" t="n">
        <x:v>1</x:v>
      </x:c>
      <x:c r="L242" s="26" t="n">
        <x:v>1</x:v>
      </x:c>
      <x:c r="M242" s="14" t="str">
        <x:f>IF(AND(K242=1,L242=1),"both_correct",IF(K242=1,"vanilla_only",IF(L242=1,"candidate_only","both_wrong")))</x:f>
        <x:v>both_correct</x:v>
      </x:c>
      <x:c r="N242" s="26" t="n">
        <x:v>0</x:v>
      </x:c>
      <x:c r="O242" s="26" t="n">
        <x:v>0</x:v>
      </x:c>
    </x:row>
    <x:row r="243" ht="21" customHeight="1">
      <x:c r="A243" s="14" t="str">
        <x:v>NetQAD E2E 单步规划</x:v>
      </x:c>
      <x:c r="B243" s="14" t="str">
        <x:v>TC00000011</x:v>
      </x:c>
      <x:c r="C243" s="17" t="n">
        <x:v>60.2958</x:v>
      </x:c>
      <x:c r="D243" s="17" t="n">
        <x:v>55.8453</x:v>
      </x:c>
      <x:c r="E243" s="17" t="n">
        <x:f>C243-D243</x:f>
        <x:v>4.450499999999998</x:v>
      </x:c>
      <x:c r="F243" s="20" t="n">
        <x:f>IFERROR(E243/C243,0)</x:f>
        <x:v>0.0738111112216771</x:v>
      </x:c>
      <x:c r="G243" s="23" t="n">
        <x:v>1025</x:v>
      </x:c>
      <x:c r="H243" s="23" t="n">
        <x:v>107</x:v>
      </x:c>
      <x:c r="I243" s="23"/>
      <x:c r="J243" s="20"/>
      <x:c r="K243" s="26" t="n">
        <x:v>1</x:v>
      </x:c>
      <x:c r="L243" s="26" t="n">
        <x:v>1</x:v>
      </x:c>
      <x:c r="M243" s="14" t="str">
        <x:f>IF(AND(K243=1,L243=1),"both_correct",IF(K243=1,"vanilla_only",IF(L243=1,"candidate_only","both_wrong")))</x:f>
        <x:v>both_correct</x:v>
      </x:c>
      <x:c r="N243" s="26" t="n">
        <x:v>0</x:v>
      </x:c>
      <x:c r="O243" s="26" t="n">
        <x:v>0</x:v>
      </x:c>
    </x:row>
    <x:row r="244" ht="21" customHeight="1">
      <x:c r="A244" s="14" t="str">
        <x:v>NetQAD E2E 单步规划</x:v>
      </x:c>
      <x:c r="B244" s="14" t="str">
        <x:v>TC00000012</x:v>
      </x:c>
      <x:c r="C244" s="17" t="n">
        <x:v>62.7877</x:v>
      </x:c>
      <x:c r="D244" s="17" t="n">
        <x:v>81.5267</x:v>
      </x:c>
      <x:c r="E244" s="17" t="n">
        <x:f>C244-D244</x:f>
        <x:v>-18.739000000000004</x:v>
      </x:c>
      <x:c r="F244" s="20" t="n">
        <x:f>IFERROR(E244/C244,0)</x:f>
        <x:v>-0.2984501741583145</x:v>
      </x:c>
      <x:c r="G244" s="23" t="n">
        <x:v>1106</x:v>
      </x:c>
      <x:c r="H244" s="23" t="n">
        <x:v>203</x:v>
      </x:c>
      <x:c r="I244" s="23"/>
      <x:c r="J244" s="20"/>
      <x:c r="K244" s="26" t="n">
        <x:v>1</x:v>
      </x:c>
      <x:c r="L244" s="26" t="n">
        <x:v>1</x:v>
      </x:c>
      <x:c r="M244" s="14" t="str">
        <x:f>IF(AND(K244=1,L244=1),"both_correct",IF(K244=1,"vanilla_only",IF(L244=1,"candidate_only","both_wrong")))</x:f>
        <x:v>both_correct</x:v>
      </x:c>
      <x:c r="N244" s="26" t="n">
        <x:v>0</x:v>
      </x:c>
      <x:c r="O244" s="26" t="n">
        <x:v>0</x:v>
      </x:c>
    </x:row>
    <x:row r="245" ht="21" customHeight="1">
      <x:c r="A245" s="14" t="str">
        <x:v>NetQAD E2E 单步规划</x:v>
      </x:c>
      <x:c r="B245" s="14" t="str">
        <x:v>TC00000013</x:v>
      </x:c>
      <x:c r="C245" s="17" t="n">
        <x:v>49.6348</x:v>
      </x:c>
      <x:c r="D245" s="17" t="n">
        <x:v>52.3167</x:v>
      </x:c>
      <x:c r="E245" s="17" t="n">
        <x:f>C245-D245</x:f>
        <x:v>-2.681899999999999</x:v>
      </x:c>
      <x:c r="F245" s="20" t="n">
        <x:f>IFERROR(E245/C245,0)</x:f>
        <x:v>-0.05403265450853029</x:v>
      </x:c>
      <x:c r="G245" s="23" t="n">
        <x:v>840</x:v>
      </x:c>
      <x:c r="H245" s="23" t="n">
        <x:v>69</x:v>
      </x:c>
      <x:c r="I245" s="23"/>
      <x:c r="J245" s="20"/>
      <x:c r="K245" s="26" t="n">
        <x:v>1</x:v>
      </x:c>
      <x:c r="L245" s="26" t="n">
        <x:v>1</x:v>
      </x:c>
      <x:c r="M245" s="14" t="str">
        <x:f>IF(AND(K245=1,L245=1),"both_correct",IF(K245=1,"vanilla_only",IF(L245=1,"candidate_only","both_wrong")))</x:f>
        <x:v>both_correct</x:v>
      </x:c>
      <x:c r="N245" s="26" t="n">
        <x:v>0</x:v>
      </x:c>
      <x:c r="O245" s="26" t="n">
        <x:v>0</x:v>
      </x:c>
    </x:row>
    <x:row r="246" ht="21" customHeight="1">
      <x:c r="A246" s="14" t="str">
        <x:v>NetQAD E2E 单步规划</x:v>
      </x:c>
      <x:c r="B246" s="14" t="str">
        <x:v>TC00000014</x:v>
      </x:c>
      <x:c r="C246" s="17" t="n">
        <x:v>65.1357</x:v>
      </x:c>
      <x:c r="D246" s="17" t="n">
        <x:v>59.7775</x:v>
      </x:c>
      <x:c r="E246" s="17" t="n">
        <x:f>C246-D246</x:f>
        <x:v>5.3581999999999965</x:v>
      </x:c>
      <x:c r="F246" s="20" t="n">
        <x:f>IFERROR(E246/C246,0)</x:f>
        <x:v>0.0822621081833771</x:v>
      </x:c>
      <x:c r="G246" s="23" t="n">
        <x:v>1070</x:v>
      </x:c>
      <x:c r="H246" s="23" t="n">
        <x:v>111</x:v>
      </x:c>
      <x:c r="I246" s="23"/>
      <x:c r="J246" s="20"/>
      <x:c r="K246" s="26" t="n">
        <x:v>1</x:v>
      </x:c>
      <x:c r="L246" s="26" t="n">
        <x:v>1</x:v>
      </x:c>
      <x:c r="M246" s="14" t="str">
        <x:f>IF(AND(K246=1,L246=1),"both_correct",IF(K246=1,"vanilla_only",IF(L246=1,"candidate_only","both_wrong")))</x:f>
        <x:v>both_correct</x:v>
      </x:c>
      <x:c r="N246" s="26" t="n">
        <x:v>0</x:v>
      </x:c>
      <x:c r="O246" s="26" t="n">
        <x:v>0</x:v>
      </x:c>
    </x:row>
    <x:row r="247" ht="21" customHeight="1">
      <x:c r="A247" s="14" t="str">
        <x:v>NetQAD E2E 单步规划</x:v>
      </x:c>
      <x:c r="B247" s="14" t="str">
        <x:v>TC00000015</x:v>
      </x:c>
      <x:c r="C247" s="17" t="n">
        <x:v>54.9324</x:v>
      </x:c>
      <x:c r="D247" s="17" t="n">
        <x:v>30.2919</x:v>
      </x:c>
      <x:c r="E247" s="17" t="n">
        <x:f>C247-D247</x:f>
        <x:v>24.640500000000003</x:v>
      </x:c>
      <x:c r="F247" s="20" t="n">
        <x:f>IFERROR(E247/C247,0)</x:f>
        <x:v>0.44856041243419187</x:v>
      </x:c>
      <x:c r="G247" s="23" t="n">
        <x:v>953</x:v>
      </x:c>
      <x:c r="H247" s="23" t="n">
        <x:v>82</x:v>
      </x:c>
      <x:c r="I247" s="23"/>
      <x:c r="J247" s="20"/>
      <x:c r="K247" s="26" t="n">
        <x:v>1</x:v>
      </x:c>
      <x:c r="L247" s="26" t="n">
        <x:v>1</x:v>
      </x:c>
      <x:c r="M247" s="14" t="str">
        <x:f>IF(AND(K247=1,L247=1),"both_correct",IF(K247=1,"vanilla_only",IF(L247=1,"candidate_only","both_wrong")))</x:f>
        <x:v>both_correct</x:v>
      </x:c>
      <x:c r="N247" s="26" t="n">
        <x:v>0</x:v>
      </x:c>
      <x:c r="O247" s="26" t="n">
        <x:v>0</x:v>
      </x:c>
    </x:row>
    <x:row r="248" ht="21" customHeight="1">
      <x:c r="A248" s="14" t="str">
        <x:v>NetQAD E2E 单步规划</x:v>
      </x:c>
      <x:c r="B248" s="14" t="str">
        <x:v>TC00000016</x:v>
      </x:c>
      <x:c r="C248" s="17" t="n">
        <x:v>61.3164</x:v>
      </x:c>
      <x:c r="D248" s="17" t="n">
        <x:v>80.8118</x:v>
      </x:c>
      <x:c r="E248" s="17" t="n">
        <x:f>C248-D248</x:f>
        <x:v>-19.495400000000004</x:v>
      </x:c>
      <x:c r="F248" s="20" t="n">
        <x:f>IFERROR(E248/C248,0)</x:f>
        <x:v>-0.3179475637839143</x:v>
      </x:c>
      <x:c r="G248" s="23" t="n">
        <x:v>956</x:v>
      </x:c>
      <x:c r="H248" s="23" t="n">
        <x:v>108</x:v>
      </x:c>
      <x:c r="I248" s="23"/>
      <x:c r="J248" s="20"/>
      <x:c r="K248" s="26" t="n">
        <x:v>1</x:v>
      </x:c>
      <x:c r="L248" s="26" t="n">
        <x:v>1</x:v>
      </x:c>
      <x:c r="M248" s="14" t="str">
        <x:f>IF(AND(K248=1,L248=1),"both_correct",IF(K248=1,"vanilla_only",IF(L248=1,"candidate_only","both_wrong")))</x:f>
        <x:v>both_correct</x:v>
      </x:c>
      <x:c r="N248" s="26" t="n">
        <x:v>0</x:v>
      </x:c>
      <x:c r="O248" s="26" t="n">
        <x:v>0</x:v>
      </x:c>
    </x:row>
    <x:row r="249" ht="21" customHeight="1">
      <x:c r="A249" s="14" t="str">
        <x:v>NetQAD E2E 单步规划</x:v>
      </x:c>
      <x:c r="B249" s="14" t="str">
        <x:v>TC00000017</x:v>
      </x:c>
      <x:c r="C249" s="17" t="n">
        <x:v>63.4302</x:v>
      </x:c>
      <x:c r="D249" s="17" t="n">
        <x:v>34.3302</x:v>
      </x:c>
      <x:c r="E249" s="17" t="n">
        <x:f>C249-D249</x:f>
        <x:v>29.1</x:v>
      </x:c>
      <x:c r="F249" s="20" t="n">
        <x:f>IFERROR(E249/C249,0)</x:f>
        <x:v>0.45877200450258715</x:v>
      </x:c>
      <x:c r="G249" s="23" t="n">
        <x:v>1063</x:v>
      </x:c>
      <x:c r="H249" s="23" t="n">
        <x:v>104</x:v>
      </x:c>
      <x:c r="I249" s="23"/>
      <x:c r="J249" s="20"/>
      <x:c r="K249" s="26" t="n">
        <x:v>1</x:v>
      </x:c>
      <x:c r="L249" s="26" t="n">
        <x:v>1</x:v>
      </x:c>
      <x:c r="M249" s="14" t="str">
        <x:f>IF(AND(K249=1,L249=1),"both_correct",IF(K249=1,"vanilla_only",IF(L249=1,"candidate_only","both_wrong")))</x:f>
        <x:v>both_correct</x:v>
      </x:c>
      <x:c r="N249" s="26" t="n">
        <x:v>0</x:v>
      </x:c>
      <x:c r="O249" s="26" t="n">
        <x:v>0</x:v>
      </x:c>
    </x:row>
    <x:row r="250" ht="21" customHeight="1">
      <x:c r="A250" s="14" t="str">
        <x:v>NetQAD E2E 单步规划</x:v>
      </x:c>
      <x:c r="B250" s="14" t="str">
        <x:v>TC00000018</x:v>
      </x:c>
      <x:c r="C250" s="17" t="n">
        <x:v>54.5796</x:v>
      </x:c>
      <x:c r="D250" s="17" t="n">
        <x:v>69.195</x:v>
      </x:c>
      <x:c r="E250" s="17" t="n">
        <x:f>C250-D250</x:f>
        <x:v>-14.615399999999994</x:v>
      </x:c>
      <x:c r="F250" s="20" t="n">
        <x:f>IFERROR(E250/C250,0)</x:f>
        <x:v>-0.2677813688630916</x:v>
      </x:c>
      <x:c r="G250" s="23" t="n">
        <x:v>895</x:v>
      </x:c>
      <x:c r="H250" s="23" t="n">
        <x:v>99</x:v>
      </x:c>
      <x:c r="I250" s="23"/>
      <x:c r="J250" s="20"/>
      <x:c r="K250" s="26" t="n">
        <x:v>1</x:v>
      </x:c>
      <x:c r="L250" s="26" t="n">
        <x:v>1</x:v>
      </x:c>
      <x:c r="M250" s="14" t="str">
        <x:f>IF(AND(K250=1,L250=1),"both_correct",IF(K250=1,"vanilla_only",IF(L250=1,"candidate_only","both_wrong")))</x:f>
        <x:v>both_correct</x:v>
      </x:c>
      <x:c r="N250" s="26" t="n">
        <x:v>0</x:v>
      </x:c>
      <x:c r="O250" s="26" t="n">
        <x:v>0</x:v>
      </x:c>
    </x:row>
    <x:row r="251" ht="21" customHeight="1">
      <x:c r="A251" s="14" t="str">
        <x:v>NetQAD E2E 单步规划</x:v>
      </x:c>
      <x:c r="B251" s="14" t="str">
        <x:v>TC00000019</x:v>
      </x:c>
      <x:c r="C251" s="17" t="n">
        <x:v>59.5088</x:v>
      </x:c>
      <x:c r="D251" s="17" t="n">
        <x:v>89.7571</x:v>
      </x:c>
      <x:c r="E251" s="17" t="n">
        <x:f>C251-D251</x:f>
        <x:v>-30.248299999999993</x:v>
      </x:c>
      <x:c r="F251" s="20" t="n">
        <x:f>IFERROR(E251/C251,0)</x:f>
        <x:v>-0.5082996128303712</x:v>
      </x:c>
      <x:c r="G251" s="23" t="n">
        <x:v>954</x:v>
      </x:c>
      <x:c r="H251" s="23" t="n">
        <x:v>101</x:v>
      </x:c>
      <x:c r="I251" s="23"/>
      <x:c r="J251" s="20"/>
      <x:c r="K251" s="26" t="n">
        <x:v>1</x:v>
      </x:c>
      <x:c r="L251" s="26" t="n">
        <x:v>1</x:v>
      </x:c>
      <x:c r="M251" s="14" t="str">
        <x:f>IF(AND(K251=1,L251=1),"both_correct",IF(K251=1,"vanilla_only",IF(L251=1,"candidate_only","both_wrong")))</x:f>
        <x:v>both_correct</x:v>
      </x:c>
      <x:c r="N251" s="26" t="n">
        <x:v>0</x:v>
      </x:c>
      <x:c r="O251" s="26" t="n">
        <x:v>0</x:v>
      </x:c>
    </x:row>
    <x:row r="252" ht="21" customHeight="1">
      <x:c r="A252" s="14" t="str">
        <x:v>NetQAD E2E 单步规划</x:v>
      </x:c>
      <x:c r="B252" s="14" t="str">
        <x:v>TC00000020</x:v>
      </x:c>
      <x:c r="C252" s="17" t="n">
        <x:v>70.7178</x:v>
      </x:c>
      <x:c r="D252" s="17" t="n">
        <x:v>52.9864</x:v>
      </x:c>
      <x:c r="E252" s="17" t="n">
        <x:f>C252-D252</x:f>
        <x:v>17.731399999999994</x:v>
      </x:c>
      <x:c r="F252" s="20" t="n">
        <x:f>IFERROR(E252/C252,0)</x:f>
        <x:v>0.2507346099567576</x:v>
      </x:c>
      <x:c r="G252" s="23" t="n">
        <x:v>1145</x:v>
      </x:c>
      <x:c r="H252" s="23" t="n">
        <x:v>108</x:v>
      </x:c>
      <x:c r="I252" s="23"/>
      <x:c r="J252" s="20"/>
      <x:c r="K252" s="26" t="n">
        <x:v>1</x:v>
      </x:c>
      <x:c r="L252" s="26" t="n">
        <x:v>1</x:v>
      </x:c>
      <x:c r="M252" s="14" t="str">
        <x:f>IF(AND(K252=1,L252=1),"both_correct",IF(K252=1,"vanilla_only",IF(L252=1,"candidate_only","both_wrong")))</x:f>
        <x:v>both_correct</x:v>
      </x:c>
      <x:c r="N252" s="26" t="n">
        <x:v>0</x:v>
      </x:c>
      <x:c r="O252" s="26" t="n">
        <x:v>0</x:v>
      </x:c>
    </x:row>
    <x:row r="253" ht="21" customHeight="1">
      <x:c r="A253" s="14" t="str">
        <x:v>NetQAD E2E 单步规划</x:v>
      </x:c>
      <x:c r="B253" s="14" t="str">
        <x:v>TC00000021</x:v>
      </x:c>
      <x:c r="C253" s="17" t="n">
        <x:v>71.5553</x:v>
      </x:c>
      <x:c r="D253" s="17" t="n">
        <x:v>33.699</x:v>
      </x:c>
      <x:c r="E253" s="17" t="n">
        <x:f>C253-D253</x:f>
        <x:v>37.856300000000005</x:v>
      </x:c>
      <x:c r="F253" s="20" t="n">
        <x:f>IFERROR(E253/C253,0)</x:f>
        <x:v>0.5290495602701687</x:v>
      </x:c>
      <x:c r="G253" s="23" t="n">
        <x:v>1209</x:v>
      </x:c>
      <x:c r="H253" s="23" t="n">
        <x:v>152</x:v>
      </x:c>
      <x:c r="I253" s="23"/>
      <x:c r="J253" s="20"/>
      <x:c r="K253" s="26" t="n">
        <x:v>1</x:v>
      </x:c>
      <x:c r="L253" s="26" t="n">
        <x:v>1</x:v>
      </x:c>
      <x:c r="M253" s="14" t="str">
        <x:f>IF(AND(K253=1,L253=1),"both_correct",IF(K253=1,"vanilla_only",IF(L253=1,"candidate_only","both_wrong")))</x:f>
        <x:v>both_correct</x:v>
      </x:c>
      <x:c r="N253" s="26" t="n">
        <x:v>0</x:v>
      </x:c>
      <x:c r="O253" s="26" t="n">
        <x:v>0</x:v>
      </x:c>
    </x:row>
    <x:row r="254" ht="21" customHeight="1">
      <x:c r="A254" s="14" t="str">
        <x:v>NetQAD E2E 单步规划</x:v>
      </x:c>
      <x:c r="B254" s="14" t="str">
        <x:v>TC00000022</x:v>
      </x:c>
      <x:c r="C254" s="17" t="n">
        <x:v>88.3109</x:v>
      </x:c>
      <x:c r="D254" s="17" t="n">
        <x:v>84.2609</x:v>
      </x:c>
      <x:c r="E254" s="17" t="n">
        <x:f>C254-D254</x:f>
        <x:v>4.049999999999997</x:v>
      </x:c>
      <x:c r="F254" s="20" t="n">
        <x:f>IFERROR(E254/C254,0)</x:f>
        <x:v>0.0458607034918679</x:v>
      </x:c>
      <x:c r="G254" s="23" t="n">
        <x:v>1469</x:v>
      </x:c>
      <x:c r="H254" s="23" t="n">
        <x:v>131</x:v>
      </x:c>
      <x:c r="I254" s="23"/>
      <x:c r="J254" s="20"/>
      <x:c r="K254" s="26" t="n">
        <x:v>1</x:v>
      </x:c>
      <x:c r="L254" s="26" t="n">
        <x:v>1</x:v>
      </x:c>
      <x:c r="M254" s="14" t="str">
        <x:f>IF(AND(K254=1,L254=1),"both_correct",IF(K254=1,"vanilla_only",IF(L254=1,"candidate_only","both_wrong")))</x:f>
        <x:v>both_correct</x:v>
      </x:c>
      <x:c r="N254" s="26" t="n">
        <x:v>0</x:v>
      </x:c>
      <x:c r="O254" s="26" t="n">
        <x:v>0</x:v>
      </x:c>
    </x:row>
    <x:row r="255" ht="21" customHeight="1">
      <x:c r="A255" s="14" t="str">
        <x:v>NetQAD E2E 单步规划</x:v>
      </x:c>
      <x:c r="B255" s="14" t="str">
        <x:v>TC00000023</x:v>
      </x:c>
      <x:c r="C255" s="17" t="n">
        <x:v>68.8608</x:v>
      </x:c>
      <x:c r="D255" s="17" t="n">
        <x:v>56.7324</x:v>
      </x:c>
      <x:c r="E255" s="17" t="n">
        <x:f>C255-D255</x:f>
        <x:v>12.1284</x:v>
      </x:c>
      <x:c r="F255" s="20" t="n">
        <x:f>IFERROR(E255/C255,0)</x:f>
        <x:v>0.17612923462986196</x:v>
      </x:c>
      <x:c r="G255" s="23" t="n">
        <x:v>1169</x:v>
      </x:c>
      <x:c r="H255" s="23" t="n">
        <x:v>127</x:v>
      </x:c>
      <x:c r="I255" s="23"/>
      <x:c r="J255" s="20"/>
      <x:c r="K255" s="26" t="n">
        <x:v>1</x:v>
      </x:c>
      <x:c r="L255" s="26" t="n">
        <x:v>1</x:v>
      </x:c>
      <x:c r="M255" s="14" t="str">
        <x:f>IF(AND(K255=1,L255=1),"both_correct",IF(K255=1,"vanilla_only",IF(L255=1,"candidate_only","both_wrong")))</x:f>
        <x:v>both_correct</x:v>
      </x:c>
      <x:c r="N255" s="26" t="n">
        <x:v>0</x:v>
      </x:c>
      <x:c r="O255" s="26" t="n">
        <x:v>0</x:v>
      </x:c>
    </x:row>
    <x:row r="256" ht="21" customHeight="1">
      <x:c r="A256" s="14" t="str">
        <x:v>NetQAD E2E 单步规划</x:v>
      </x:c>
      <x:c r="B256" s="14" t="str">
        <x:v>TC00000024</x:v>
      </x:c>
      <x:c r="C256" s="17" t="n">
        <x:v>68.2978</x:v>
      </x:c>
      <x:c r="D256" s="17" t="n">
        <x:v>54.4112</x:v>
      </x:c>
      <x:c r="E256" s="17" t="n">
        <x:f>C256-D256</x:f>
        <x:v>13.886599999999994</x:v>
      </x:c>
      <x:c r="F256" s="20" t="n">
        <x:f>IFERROR(E256/C256,0)</x:f>
        <x:v>0.2033242652032715</x:v>
      </x:c>
      <x:c r="G256" s="23" t="n">
        <x:v>1124</x:v>
      </x:c>
      <x:c r="H256" s="23" t="n">
        <x:v>94</x:v>
      </x:c>
      <x:c r="I256" s="23"/>
      <x:c r="J256" s="20"/>
      <x:c r="K256" s="26" t="n">
        <x:v>1</x:v>
      </x:c>
      <x:c r="L256" s="26" t="n">
        <x:v>1</x:v>
      </x:c>
      <x:c r="M256" s="14" t="str">
        <x:f>IF(AND(K256=1,L256=1),"both_correct",IF(K256=1,"vanilla_only",IF(L256=1,"candidate_only","both_wrong")))</x:f>
        <x:v>both_correct</x:v>
      </x:c>
      <x:c r="N256" s="26" t="n">
        <x:v>0</x:v>
      </x:c>
      <x:c r="O256" s="26" t="n">
        <x:v>0</x:v>
      </x:c>
    </x:row>
    <x:row r="257" ht="21" customHeight="1">
      <x:c r="A257" s="14" t="str">
        <x:v>NetQAD E2E 单步规划</x:v>
      </x:c>
      <x:c r="B257" s="14" t="str">
        <x:v>TC00000025</x:v>
      </x:c>
      <x:c r="C257" s="17" t="n">
        <x:v>56.7328</x:v>
      </x:c>
      <x:c r="D257" s="17" t="n">
        <x:v>52.4324</x:v>
      </x:c>
      <x:c r="E257" s="17" t="n">
        <x:f>C257-D257</x:f>
        <x:v>4.300399999999996</x:v>
      </x:c>
      <x:c r="F257" s="20" t="n">
        <x:f>IFERROR(E257/C257,0)</x:f>
        <x:v>0.07580094759997738</x:v>
      </x:c>
      <x:c r="G257" s="23" t="n">
        <x:v>929</x:v>
      </x:c>
      <x:c r="H257" s="23" t="n">
        <x:v>78</x:v>
      </x:c>
      <x:c r="I257" s="23"/>
      <x:c r="J257" s="20"/>
      <x:c r="K257" s="26" t="n">
        <x:v>1</x:v>
      </x:c>
      <x:c r="L257" s="26" t="n">
        <x:v>1</x:v>
      </x:c>
      <x:c r="M257" s="14" t="str">
        <x:f>IF(AND(K257=1,L257=1),"both_correct",IF(K257=1,"vanilla_only",IF(L257=1,"candidate_only","both_wrong")))</x:f>
        <x:v>both_correct</x:v>
      </x:c>
      <x:c r="N257" s="26" t="n">
        <x:v>0</x:v>
      </x:c>
      <x:c r="O257" s="26" t="n">
        <x:v>0</x:v>
      </x:c>
    </x:row>
    <x:row r="258" ht="21" customHeight="1">
      <x:c r="A258" s="14" t="str">
        <x:v>NetQAD E2E 单步规划</x:v>
      </x:c>
      <x:c r="B258" s="14" t="str">
        <x:v>TC00000026</x:v>
      </x:c>
      <x:c r="C258" s="17" t="n">
        <x:v>53.45</x:v>
      </x:c>
      <x:c r="D258" s="17" t="n">
        <x:v>55.5761</x:v>
      </x:c>
      <x:c r="E258" s="17" t="n">
        <x:f>C258-D258</x:f>
        <x:v>-2.126099999999994</x:v>
      </x:c>
      <x:c r="F258" s="20" t="n">
        <x:f>IFERROR(E258/C258,0)</x:f>
        <x:v>-0.03977736202057987</x:v>
      </x:c>
      <x:c r="G258" s="23" t="n">
        <x:v>909</x:v>
      </x:c>
      <x:c r="H258" s="23" t="n">
        <x:v>91</x:v>
      </x:c>
      <x:c r="I258" s="23"/>
      <x:c r="J258" s="20"/>
      <x:c r="K258" s="26" t="n">
        <x:v>1</x:v>
      </x:c>
      <x:c r="L258" s="26" t="n">
        <x:v>1</x:v>
      </x:c>
      <x:c r="M258" s="14" t="str">
        <x:f>IF(AND(K258=1,L258=1),"both_correct",IF(K258=1,"vanilla_only",IF(L258=1,"candidate_only","both_wrong")))</x:f>
        <x:v>both_correct</x:v>
      </x:c>
      <x:c r="N258" s="26" t="n">
        <x:v>0</x:v>
      </x:c>
      <x:c r="O258" s="26" t="n">
        <x:v>0</x:v>
      </x:c>
    </x:row>
    <x:row r="259" ht="21" customHeight="1">
      <x:c r="A259" s="14" t="str">
        <x:v>NetQAD E2E 单步规划</x:v>
      </x:c>
      <x:c r="B259" s="14" t="str">
        <x:v>TC00000027</x:v>
      </x:c>
      <x:c r="C259" s="17" t="n">
        <x:v>61.9902</x:v>
      </x:c>
      <x:c r="D259" s="17" t="n">
        <x:v>30.6028</x:v>
      </x:c>
      <x:c r="E259" s="17" t="n">
        <x:f>C259-D259</x:f>
        <x:v>31.387400000000003</x:v>
      </x:c>
      <x:c r="F259" s="20" t="n">
        <x:f>IFERROR(E259/C259,0)</x:f>
        <x:v>0.5063284196534291</x:v>
      </x:c>
      <x:c r="G259" s="23" t="n">
        <x:v>1023</x:v>
      </x:c>
      <x:c r="H259" s="23" t="n">
        <x:v>112</x:v>
      </x:c>
      <x:c r="I259" s="23"/>
      <x:c r="J259" s="20"/>
      <x:c r="K259" s="26" t="n">
        <x:v>1</x:v>
      </x:c>
      <x:c r="L259" s="26" t="n">
        <x:v>1</x:v>
      </x:c>
      <x:c r="M259" s="14" t="str">
        <x:f>IF(AND(K259=1,L259=1),"both_correct",IF(K259=1,"vanilla_only",IF(L259=1,"candidate_only","both_wrong")))</x:f>
        <x:v>both_correct</x:v>
      </x:c>
      <x:c r="N259" s="26" t="n">
        <x:v>0</x:v>
      </x:c>
      <x:c r="O259" s="26" t="n">
        <x:v>0</x:v>
      </x:c>
    </x:row>
    <x:row r="260" ht="21" customHeight="1">
      <x:c r="A260" s="14" t="str">
        <x:v>NetQAD E2E 单步规划</x:v>
      </x:c>
      <x:c r="B260" s="14" t="str">
        <x:v>TC00000028</x:v>
      </x:c>
      <x:c r="C260" s="17" t="n">
        <x:v>61.7633</x:v>
      </x:c>
      <x:c r="D260" s="17" t="n">
        <x:v>32.103</x:v>
      </x:c>
      <x:c r="E260" s="17" t="n">
        <x:f>C260-D260</x:f>
        <x:v>29.6603</x:v>
      </x:c>
      <x:c r="F260" s="20" t="n">
        <x:f>IFERROR(E260/C260,0)</x:f>
        <x:v>0.4802253117951923</x:v>
      </x:c>
      <x:c r="G260" s="23" t="n">
        <x:v>1003</x:v>
      </x:c>
      <x:c r="H260" s="23" t="n">
        <x:v>106</x:v>
      </x:c>
      <x:c r="I260" s="23"/>
      <x:c r="J260" s="20"/>
      <x:c r="K260" s="26" t="n">
        <x:v>1</x:v>
      </x:c>
      <x:c r="L260" s="26" t="n">
        <x:v>1</x:v>
      </x:c>
      <x:c r="M260" s="14" t="str">
        <x:f>IF(AND(K260=1,L260=1),"both_correct",IF(K260=1,"vanilla_only",IF(L260=1,"candidate_only","both_wrong")))</x:f>
        <x:v>both_correct</x:v>
      </x:c>
      <x:c r="N260" s="26" t="n">
        <x:v>0</x:v>
      </x:c>
      <x:c r="O260" s="26" t="n">
        <x:v>0</x:v>
      </x:c>
    </x:row>
    <x:row r="261" ht="21" customHeight="1">
      <x:c r="A261" s="14" t="str">
        <x:v>NetQAD E2E 单步规划</x:v>
      </x:c>
      <x:c r="B261" s="14" t="str">
        <x:v>TC00000029</x:v>
      </x:c>
      <x:c r="C261" s="17" t="n">
        <x:v>69.1069</x:v>
      </x:c>
      <x:c r="D261" s="17" t="n">
        <x:v>97.9894</x:v>
      </x:c>
      <x:c r="E261" s="17" t="n">
        <x:f>C261-D261</x:f>
        <x:v>-28.882500000000007</x:v>
      </x:c>
      <x:c r="F261" s="20" t="n">
        <x:f>IFERROR(E261/C261,0)</x:f>
        <x:v>-0.41793945322391846</x:v>
      </x:c>
      <x:c r="G261" s="23" t="n">
        <x:v>1034</x:v>
      </x:c>
      <x:c r="H261" s="23" t="n">
        <x:v>81</x:v>
      </x:c>
      <x:c r="I261" s="23"/>
      <x:c r="J261" s="20"/>
      <x:c r="K261" s="26" t="n">
        <x:v>1</x:v>
      </x:c>
      <x:c r="L261" s="26" t="n">
        <x:v>1</x:v>
      </x:c>
      <x:c r="M261" s="14" t="str">
        <x:f>IF(AND(K261=1,L261=1),"both_correct",IF(K261=1,"vanilla_only",IF(L261=1,"candidate_only","both_wrong")))</x:f>
        <x:v>both_correct</x:v>
      </x:c>
      <x:c r="N261" s="26" t="n">
        <x:v>0</x:v>
      </x:c>
      <x:c r="O261" s="26" t="n">
        <x:v>0</x:v>
      </x:c>
    </x:row>
    <x:row r="262" ht="21" customHeight="1">
      <x:c r="A262" s="14" t="str">
        <x:v>NetQAD E2E 单步规划</x:v>
      </x:c>
      <x:c r="B262" s="14" t="str">
        <x:v>TC00000030</x:v>
      </x:c>
      <x:c r="C262" s="17" t="n">
        <x:v>44.6943</x:v>
      </x:c>
      <x:c r="D262" s="17" t="n">
        <x:v>58.3005</x:v>
      </x:c>
      <x:c r="E262" s="17" t="n">
        <x:f>C262-D262</x:f>
        <x:v>-13.606200000000001</x:v>
      </x:c>
      <x:c r="F262" s="20" t="n">
        <x:f>IFERROR(E262/C262,0)</x:f>
        <x:v>-0.30442808143320294</x:v>
      </x:c>
      <x:c r="G262" s="23" t="n">
        <x:v>751</x:v>
      </x:c>
      <x:c r="H262" s="23" t="n">
        <x:v>90</x:v>
      </x:c>
      <x:c r="I262" s="23"/>
      <x:c r="J262" s="20"/>
      <x:c r="K262" s="26" t="n">
        <x:v>1</x:v>
      </x:c>
      <x:c r="L262" s="26" t="n">
        <x:v>1</x:v>
      </x:c>
      <x:c r="M262" s="14" t="str">
        <x:f>IF(AND(K262=1,L262=1),"both_correct",IF(K262=1,"vanilla_only",IF(L262=1,"candidate_only","both_wrong")))</x:f>
        <x:v>both_correct</x:v>
      </x:c>
      <x:c r="N262" s="26" t="n">
        <x:v>0</x:v>
      </x:c>
      <x:c r="O262" s="26" t="n">
        <x:v>0</x:v>
      </x:c>
    </x:row>
    <x:row r="263" ht="21" customHeight="1">
      <x:c r="A263" s="14" t="str">
        <x:v>NetQAD E2E 单步规划</x:v>
      </x:c>
      <x:c r="B263" s="14" t="str">
        <x:v>TC00000031</x:v>
      </x:c>
      <x:c r="C263" s="17" t="n">
        <x:v>67.0903</x:v>
      </x:c>
      <x:c r="D263" s="17" t="n">
        <x:v>57.9125</x:v>
      </x:c>
      <x:c r="E263" s="17" t="n">
        <x:f>C263-D263</x:f>
        <x:v>9.177799999999998</x:v>
      </x:c>
      <x:c r="F263" s="20" t="n">
        <x:f>IFERROR(E263/C263,0)</x:f>
        <x:v>0.13679771889527992</x:v>
      </x:c>
      <x:c r="G263" s="23" t="n">
        <x:v>1143</x:v>
      </x:c>
      <x:c r="H263" s="23" t="n">
        <x:v>107</x:v>
      </x:c>
      <x:c r="I263" s="23"/>
      <x:c r="J263" s="20"/>
      <x:c r="K263" s="26" t="n">
        <x:v>1</x:v>
      </x:c>
      <x:c r="L263" s="26" t="n">
        <x:v>1</x:v>
      </x:c>
      <x:c r="M263" s="14" t="str">
        <x:f>IF(AND(K263=1,L263=1),"both_correct",IF(K263=1,"vanilla_only",IF(L263=1,"candidate_only","both_wrong")))</x:f>
        <x:v>both_correct</x:v>
      </x:c>
      <x:c r="N263" s="26" t="n">
        <x:v>0</x:v>
      </x:c>
      <x:c r="O263" s="26" t="n">
        <x:v>0</x:v>
      </x:c>
    </x:row>
    <x:row r="264" ht="21" customHeight="1">
      <x:c r="A264" s="14" t="str">
        <x:v>NetQAD E2E 单步规划</x:v>
      </x:c>
      <x:c r="B264" s="14" t="str">
        <x:v>TC00000032</x:v>
      </x:c>
      <x:c r="C264" s="17" t="n">
        <x:v>54.1415</x:v>
      </x:c>
      <x:c r="D264" s="17" t="n">
        <x:v>55.3118</x:v>
      </x:c>
      <x:c r="E264" s="17" t="n">
        <x:f>C264-D264</x:f>
        <x:v>-1.1702999999999975</x:v>
      </x:c>
      <x:c r="F264" s="20" t="n">
        <x:f>IFERROR(E264/C264,0)</x:f>
        <x:v>-0.021615581393201102</x:v>
      </x:c>
      <x:c r="G264" s="23" t="n">
        <x:v>929</x:v>
      </x:c>
      <x:c r="H264" s="23" t="n">
        <x:v>89</x:v>
      </x:c>
      <x:c r="I264" s="23"/>
      <x:c r="J264" s="20"/>
      <x:c r="K264" s="26" t="n">
        <x:v>1</x:v>
      </x:c>
      <x:c r="L264" s="26" t="n">
        <x:v>1</x:v>
      </x:c>
      <x:c r="M264" s="14" t="str">
        <x:f>IF(AND(K264=1,L264=1),"both_correct",IF(K264=1,"vanilla_only",IF(L264=1,"candidate_only","both_wrong")))</x:f>
        <x:v>both_correct</x:v>
      </x:c>
      <x:c r="N264" s="26" t="n">
        <x:v>0</x:v>
      </x:c>
      <x:c r="O264" s="26" t="n">
        <x:v>0</x:v>
      </x:c>
    </x:row>
    <x:row r="265" ht="21" customHeight="1">
      <x:c r="A265" s="14" t="str">
        <x:v>NetQAD E2E 单步规划</x:v>
      </x:c>
      <x:c r="B265" s="14" t="str">
        <x:v>TC00000033</x:v>
      </x:c>
      <x:c r="C265" s="17" t="n">
        <x:v>66.2404</x:v>
      </x:c>
      <x:c r="D265" s="17" t="n">
        <x:v>53.5142</x:v>
      </x:c>
      <x:c r="E265" s="17" t="n">
        <x:f>C265-D265</x:f>
        <x:v>12.726199999999992</x:v>
      </x:c>
      <x:c r="F265" s="20" t="n">
        <x:f>IFERROR(E265/C265,0)</x:f>
        <x:v>0.19212142438753377</x:v>
      </x:c>
      <x:c r="G265" s="23" t="n">
        <x:v>1090</x:v>
      </x:c>
      <x:c r="H265" s="23" t="n">
        <x:v>90</x:v>
      </x:c>
      <x:c r="I265" s="23"/>
      <x:c r="J265" s="20"/>
      <x:c r="K265" s="26" t="n">
        <x:v>1</x:v>
      </x:c>
      <x:c r="L265" s="26" t="n">
        <x:v>1</x:v>
      </x:c>
      <x:c r="M265" s="14" t="str">
        <x:f>IF(AND(K265=1,L265=1),"both_correct",IF(K265=1,"vanilla_only",IF(L265=1,"candidate_only","both_wrong")))</x:f>
        <x:v>both_correct</x:v>
      </x:c>
      <x:c r="N265" s="26" t="n">
        <x:v>0</x:v>
      </x:c>
      <x:c r="O265" s="26" t="n">
        <x:v>0</x:v>
      </x:c>
    </x:row>
    <x:row r="266" ht="21" customHeight="1">
      <x:c r="A266" s="14" t="str">
        <x:v>NetQAD E2E 单步规划</x:v>
      </x:c>
      <x:c r="B266" s="14" t="str">
        <x:v>TC00000034</x:v>
      </x:c>
      <x:c r="C266" s="17" t="n">
        <x:v>61.486</x:v>
      </x:c>
      <x:c r="D266" s="17" t="n">
        <x:v>53.5554</x:v>
      </x:c>
      <x:c r="E266" s="17" t="n">
        <x:f>C266-D266</x:f>
        <x:v>7.930599999999998</x:v>
      </x:c>
      <x:c r="F266" s="20" t="n">
        <x:f>IFERROR(E266/C266,0)</x:f>
        <x:v>0.1289822073317503</x:v>
      </x:c>
      <x:c r="G266" s="23" t="n">
        <x:v>1027</x:v>
      </x:c>
      <x:c r="H266" s="23" t="n">
        <x:v>106</x:v>
      </x:c>
      <x:c r="I266" s="23"/>
      <x:c r="J266" s="20"/>
      <x:c r="K266" s="26" t="n">
        <x:v>1</x:v>
      </x:c>
      <x:c r="L266" s="26" t="n">
        <x:v>1</x:v>
      </x:c>
      <x:c r="M266" s="14" t="str">
        <x:f>IF(AND(K266=1,L266=1),"both_correct",IF(K266=1,"vanilla_only",IF(L266=1,"candidate_only","both_wrong")))</x:f>
        <x:v>both_correct</x:v>
      </x:c>
      <x:c r="N266" s="26" t="n">
        <x:v>0</x:v>
      </x:c>
      <x:c r="O266" s="26" t="n">
        <x:v>0</x:v>
      </x:c>
    </x:row>
    <x:row r="267" ht="21" customHeight="1">
      <x:c r="A267" s="14" t="str">
        <x:v>NetQAD E2E 单步规划</x:v>
      </x:c>
      <x:c r="B267" s="14" t="str">
        <x:v>TC00000035</x:v>
      </x:c>
      <x:c r="C267" s="17" t="n">
        <x:v>65.595</x:v>
      </x:c>
      <x:c r="D267" s="17" t="n">
        <x:v>55.7815</x:v>
      </x:c>
      <x:c r="E267" s="17" t="n">
        <x:f>C267-D267</x:f>
        <x:v>9.813499999999998</x:v>
      </x:c>
      <x:c r="F267" s="20" t="n">
        <x:f>IFERROR(E267/C267,0)</x:f>
        <x:v>0.14960743959143225</x:v>
      </x:c>
      <x:c r="G267" s="23" t="n">
        <x:v>1141</x:v>
      </x:c>
      <x:c r="H267" s="23" t="n">
        <x:v>120</x:v>
      </x:c>
      <x:c r="I267" s="23"/>
      <x:c r="J267" s="20"/>
      <x:c r="K267" s="26" t="n">
        <x:v>1</x:v>
      </x:c>
      <x:c r="L267" s="26" t="n">
        <x:v>1</x:v>
      </x:c>
      <x:c r="M267" s="14" t="str">
        <x:f>IF(AND(K267=1,L267=1),"both_correct",IF(K267=1,"vanilla_only",IF(L267=1,"candidate_only","both_wrong")))</x:f>
        <x:v>both_correct</x:v>
      </x:c>
      <x:c r="N267" s="26" t="n">
        <x:v>0</x:v>
      </x:c>
      <x:c r="O267" s="26" t="n">
        <x:v>0</x:v>
      </x:c>
    </x:row>
    <x:row r="268" ht="21" customHeight="1">
      <x:c r="A268" s="14" t="str">
        <x:v>NetQAD E2E 单步规划</x:v>
      </x:c>
      <x:c r="B268" s="14" t="str">
        <x:v>TC00000036</x:v>
      </x:c>
      <x:c r="C268" s="17" t="n">
        <x:v>64.2352</x:v>
      </x:c>
      <x:c r="D268" s="17" t="n">
        <x:v>52.7564</x:v>
      </x:c>
      <x:c r="E268" s="17" t="n">
        <x:f>C268-D268</x:f>
        <x:v>11.478800000000007</x:v>
      </x:c>
      <x:c r="F268" s="20" t="n">
        <x:f>IFERROR(E268/C268,0)</x:f>
        <x:v>0.17869952923007953</x:v>
      </x:c>
      <x:c r="G268" s="23" t="n">
        <x:v>1055</x:v>
      </x:c>
      <x:c r="H268" s="23" t="n">
        <x:v>95</x:v>
      </x:c>
      <x:c r="I268" s="23"/>
      <x:c r="J268" s="20"/>
      <x:c r="K268" s="26" t="n">
        <x:v>1</x:v>
      </x:c>
      <x:c r="L268" s="26" t="n">
        <x:v>1</x:v>
      </x:c>
      <x:c r="M268" s="14" t="str">
        <x:f>IF(AND(K268=1,L268=1),"both_correct",IF(K268=1,"vanilla_only",IF(L268=1,"candidate_only","both_wrong")))</x:f>
        <x:v>both_correct</x:v>
      </x:c>
      <x:c r="N268" s="26" t="n">
        <x:v>0</x:v>
      </x:c>
      <x:c r="O268" s="26" t="n">
        <x:v>0</x:v>
      </x:c>
    </x:row>
    <x:row r="269" ht="21" customHeight="1">
      <x:c r="A269" s="14" t="str">
        <x:v>NetQAD E2E 单步规划</x:v>
      </x:c>
      <x:c r="B269" s="14" t="str">
        <x:v>TC00000037</x:v>
      </x:c>
      <x:c r="C269" s="17" t="n">
        <x:v>56.4381</x:v>
      </x:c>
      <x:c r="D269" s="17" t="n">
        <x:v>55.3759</x:v>
      </x:c>
      <x:c r="E269" s="17" t="n">
        <x:f>C269-D269</x:f>
        <x:v>1.0621999999999971</x:v>
      </x:c>
      <x:c r="F269" s="20" t="n">
        <x:f>IFERROR(E269/C269,0)</x:f>
        <x:v>0.018820619404267633</x:v>
      </x:c>
      <x:c r="G269" s="23" t="n">
        <x:v>961</x:v>
      </x:c>
      <x:c r="H269" s="23" t="n">
        <x:v>110</x:v>
      </x:c>
      <x:c r="I269" s="23"/>
      <x:c r="J269" s="20"/>
      <x:c r="K269" s="26" t="n">
        <x:v>1</x:v>
      </x:c>
      <x:c r="L269" s="26" t="n">
        <x:v>1</x:v>
      </x:c>
      <x:c r="M269" s="14" t="str">
        <x:f>IF(AND(K269=1,L269=1),"both_correct",IF(K269=1,"vanilla_only",IF(L269=1,"candidate_only","both_wrong")))</x:f>
        <x:v>both_correct</x:v>
      </x:c>
      <x:c r="N269" s="26" t="n">
        <x:v>0</x:v>
      </x:c>
      <x:c r="O269" s="26" t="n">
        <x:v>0</x:v>
      </x:c>
    </x:row>
    <x:row r="270" ht="21" customHeight="1">
      <x:c r="A270" s="14" t="str">
        <x:v>NetQAD E2E 单步规划</x:v>
      </x:c>
      <x:c r="B270" s="14" t="str">
        <x:v>TC00000038</x:v>
      </x:c>
      <x:c r="C270" s="17" t="n">
        <x:v>62.9811</x:v>
      </x:c>
      <x:c r="D270" s="17" t="n">
        <x:v>81.9107</x:v>
      </x:c>
      <x:c r="E270" s="17" t="n">
        <x:f>C270-D270</x:f>
        <x:v>-18.929600000000008</x:v>
      </x:c>
      <x:c r="F270" s="20" t="n">
        <x:f>IFERROR(E270/C270,0)</x:f>
        <x:v>-0.30056000927262316</x:v>
      </x:c>
      <x:c r="G270" s="23" t="n">
        <x:v>1048</x:v>
      </x:c>
      <x:c r="H270" s="23" t="n">
        <x:v>108</x:v>
      </x:c>
      <x:c r="I270" s="23"/>
      <x:c r="J270" s="20"/>
      <x:c r="K270" s="26" t="n">
        <x:v>1</x:v>
      </x:c>
      <x:c r="L270" s="26" t="n">
        <x:v>1</x:v>
      </x:c>
      <x:c r="M270" s="14" t="str">
        <x:f>IF(AND(K270=1,L270=1),"both_correct",IF(K270=1,"vanilla_only",IF(L270=1,"candidate_only","both_wrong")))</x:f>
        <x:v>both_correct</x:v>
      </x:c>
      <x:c r="N270" s="26" t="n">
        <x:v>0</x:v>
      </x:c>
      <x:c r="O270" s="26" t="n">
        <x:v>0</x:v>
      </x:c>
    </x:row>
    <x:row r="271" ht="21" customHeight="1">
      <x:c r="A271" s="14" t="str">
        <x:v>NetQAD E2E 单步规划</x:v>
      </x:c>
      <x:c r="B271" s="14" t="str">
        <x:v>TC00000039</x:v>
      </x:c>
      <x:c r="C271" s="17" t="n">
        <x:v>48.7111</x:v>
      </x:c>
      <x:c r="D271" s="17" t="n">
        <x:v>57.2346</x:v>
      </x:c>
      <x:c r="E271" s="17" t="n">
        <x:f>C271-D271</x:f>
        <x:v>-8.523499999999999</x:v>
      </x:c>
      <x:c r="F271" s="20" t="n">
        <x:f>IFERROR(E271/C271,0)</x:f>
        <x:v>-0.1749806512273383</x:v>
      </x:c>
      <x:c r="G271" s="23" t="n">
        <x:v>783</x:v>
      </x:c>
      <x:c r="H271" s="23" t="n">
        <x:v>115</x:v>
      </x:c>
      <x:c r="I271" s="23"/>
      <x:c r="J271" s="20"/>
      <x:c r="K271" s="26" t="n">
        <x:v>1</x:v>
      </x:c>
      <x:c r="L271" s="26" t="n">
        <x:v>1</x:v>
      </x:c>
      <x:c r="M271" s="14" t="str">
        <x:f>IF(AND(K271=1,L271=1),"both_correct",IF(K271=1,"vanilla_only",IF(L271=1,"candidate_only","both_wrong")))</x:f>
        <x:v>both_correct</x:v>
      </x:c>
      <x:c r="N271" s="26" t="n">
        <x:v>0</x:v>
      </x:c>
      <x:c r="O271" s="26" t="n">
        <x:v>0</x:v>
      </x:c>
    </x:row>
    <x:row r="272" ht="21" customHeight="1">
      <x:c r="A272" s="14" t="str">
        <x:v>NetQAD E2E 单步规划</x:v>
      </x:c>
      <x:c r="B272" s="14" t="str">
        <x:v>TC00000040</x:v>
      </x:c>
      <x:c r="C272" s="17" t="n">
        <x:v>59.9671</x:v>
      </x:c>
      <x:c r="D272" s="17" t="n">
        <x:v>56.2411</x:v>
      </x:c>
      <x:c r="E272" s="17" t="n">
        <x:f>C272-D272</x:f>
        <x:v>3.725999999999999</x:v>
      </x:c>
      <x:c r="F272" s="20" t="n">
        <x:f>IFERROR(E272/C272,0)</x:f>
        <x:v>0.062134070181816346</x:v>
      </x:c>
      <x:c r="G272" s="23" t="n">
        <x:v>904</x:v>
      </x:c>
      <x:c r="H272" s="23" t="n">
        <x:v>75</x:v>
      </x:c>
      <x:c r="I272" s="23"/>
      <x:c r="J272" s="20"/>
      <x:c r="K272" s="26" t="n">
        <x:v>1</x:v>
      </x:c>
      <x:c r="L272" s="26" t="n">
        <x:v>1</x:v>
      </x:c>
      <x:c r="M272" s="14" t="str">
        <x:f>IF(AND(K272=1,L272=1),"both_correct",IF(K272=1,"vanilla_only",IF(L272=1,"candidate_only","both_wrong")))</x:f>
        <x:v>both_correct</x:v>
      </x:c>
      <x:c r="N272" s="26" t="n">
        <x:v>0</x:v>
      </x:c>
      <x:c r="O272" s="26" t="n">
        <x:v>0</x:v>
      </x:c>
    </x:row>
    <x:row r="273" ht="21" customHeight="1">
      <x:c r="A273" s="14" t="str">
        <x:v>NetQAD E2E 单步规划</x:v>
      </x:c>
      <x:c r="B273" s="14" t="str">
        <x:v>TC00000041</x:v>
      </x:c>
      <x:c r="C273" s="17" t="n">
        <x:v>70.2274</x:v>
      </x:c>
      <x:c r="D273" s="17" t="n">
        <x:v>56.4441</x:v>
      </x:c>
      <x:c r="E273" s="17" t="n">
        <x:f>C273-D273</x:f>
        <x:v>13.783300000000004</x:v>
      </x:c>
      <x:c r="F273" s="20" t="n">
        <x:f>IFERROR(E273/C273,0)</x:f>
        <x:v>0.19626669932248672</x:v>
      </x:c>
      <x:c r="G273" s="23" t="n">
        <x:v>1081</x:v>
      </x:c>
      <x:c r="H273" s="23" t="n">
        <x:v>101</x:v>
      </x:c>
      <x:c r="I273" s="23"/>
      <x:c r="J273" s="20"/>
      <x:c r="K273" s="26" t="n">
        <x:v>1</x:v>
      </x:c>
      <x:c r="L273" s="26" t="n">
        <x:v>1</x:v>
      </x:c>
      <x:c r="M273" s="14" t="str">
        <x:f>IF(AND(K273=1,L273=1),"both_correct",IF(K273=1,"vanilla_only",IF(L273=1,"candidate_only","both_wrong")))</x:f>
        <x:v>both_correct</x:v>
      </x:c>
      <x:c r="N273" s="26" t="n">
        <x:v>0</x:v>
      </x:c>
      <x:c r="O273" s="26" t="n">
        <x:v>0</x:v>
      </x:c>
    </x:row>
    <x:row r="274" ht="21" customHeight="1">
      <x:c r="A274" s="14" t="str">
        <x:v>NetQAD E2E 单步规划</x:v>
      </x:c>
      <x:c r="B274" s="14" t="str">
        <x:v>TC00000042</x:v>
      </x:c>
      <x:c r="C274" s="17" t="n">
        <x:v>61.8671</x:v>
      </x:c>
      <x:c r="D274" s="17" t="n">
        <x:v>53.875</x:v>
      </x:c>
      <x:c r="E274" s="17" t="n">
        <x:f>C274-D274</x:f>
        <x:v>7.992100000000001</x:v>
      </x:c>
      <x:c r="F274" s="20" t="n">
        <x:f>IFERROR(E274/C274,0)</x:f>
        <x:v>0.12918174603302887</x:v>
      </x:c>
      <x:c r="G274" s="23" t="n">
        <x:v>1001</x:v>
      </x:c>
      <x:c r="H274" s="23" t="n">
        <x:v>99</x:v>
      </x:c>
      <x:c r="I274" s="23"/>
      <x:c r="J274" s="20"/>
      <x:c r="K274" s="26" t="n">
        <x:v>1</x:v>
      </x:c>
      <x:c r="L274" s="26" t="n">
        <x:v>1</x:v>
      </x:c>
      <x:c r="M274" s="14" t="str">
        <x:f>IF(AND(K274=1,L274=1),"both_correct",IF(K274=1,"vanilla_only",IF(L274=1,"candidate_only","both_wrong")))</x:f>
        <x:v>both_correct</x:v>
      </x:c>
      <x:c r="N274" s="26" t="n">
        <x:v>0</x:v>
      </x:c>
      <x:c r="O274" s="26" t="n">
        <x:v>0</x:v>
      </x:c>
    </x:row>
    <x:row r="275" ht="21" customHeight="1">
      <x:c r="A275" s="14" t="str">
        <x:v>NetQAD E2E 单步规划</x:v>
      </x:c>
      <x:c r="B275" s="14" t="str">
        <x:v>TC00000043</x:v>
      </x:c>
      <x:c r="C275" s="17" t="n">
        <x:v>62.5005</x:v>
      </x:c>
      <x:c r="D275" s="17" t="n">
        <x:v>57.0948</x:v>
      </x:c>
      <x:c r="E275" s="17" t="n">
        <x:f>C275-D275</x:f>
        <x:v>5.405700000000003</x:v>
      </x:c>
      <x:c r="F275" s="20" t="n">
        <x:f>IFERROR(E275/C275,0)</x:f>
        <x:v>0.08649050807593543</x:v>
      </x:c>
      <x:c r="G275" s="23" t="n">
        <x:v>1018</x:v>
      </x:c>
      <x:c r="H275" s="23" t="n">
        <x:v>111</x:v>
      </x:c>
      <x:c r="I275" s="23"/>
      <x:c r="J275" s="20"/>
      <x:c r="K275" s="26" t="n">
        <x:v>1</x:v>
      </x:c>
      <x:c r="L275" s="26" t="n">
        <x:v>1</x:v>
      </x:c>
      <x:c r="M275" s="14" t="str">
        <x:f>IF(AND(K275=1,L275=1),"both_correct",IF(K275=1,"vanilla_only",IF(L275=1,"candidate_only","both_wrong")))</x:f>
        <x:v>both_correct</x:v>
      </x:c>
      <x:c r="N275" s="26" t="n">
        <x:v>0</x:v>
      </x:c>
      <x:c r="O275" s="26" t="n">
        <x:v>0</x:v>
      </x:c>
    </x:row>
    <x:row r="276" ht="21" customHeight="1">
      <x:c r="A276" s="14" t="str">
        <x:v>NetQAD E2E 单步规划</x:v>
      </x:c>
      <x:c r="B276" s="14" t="str">
        <x:v>TC00000044</x:v>
      </x:c>
      <x:c r="C276" s="17" t="n">
        <x:v>53.0253</x:v>
      </x:c>
      <x:c r="D276" s="17" t="n">
        <x:v>56.8648</x:v>
      </x:c>
      <x:c r="E276" s="17" t="n">
        <x:f>C276-D276</x:f>
        <x:v>-3.839500000000001</x:v>
      </x:c>
      <x:c r="F276" s="20" t="n">
        <x:f>IFERROR(E276/C276,0)</x:f>
        <x:v>-0.07240883125602308</x:v>
      </x:c>
      <x:c r="G276" s="23" t="n">
        <x:v>887</x:v>
      </x:c>
      <x:c r="H276" s="23" t="n">
        <x:v>101</x:v>
      </x:c>
      <x:c r="I276" s="23"/>
      <x:c r="J276" s="20"/>
      <x:c r="K276" s="26" t="n">
        <x:v>1</x:v>
      </x:c>
      <x:c r="L276" s="26" t="n">
        <x:v>1</x:v>
      </x:c>
      <x:c r="M276" s="14" t="str">
        <x:f>IF(AND(K276=1,L276=1),"both_correct",IF(K276=1,"vanilla_only",IF(L276=1,"candidate_only","both_wrong")))</x:f>
        <x:v>both_correct</x:v>
      </x:c>
      <x:c r="N276" s="26" t="n">
        <x:v>0</x:v>
      </x:c>
      <x:c r="O276" s="26" t="n">
        <x:v>0</x:v>
      </x:c>
    </x:row>
    <x:row r="277" ht="21" customHeight="1">
      <x:c r="A277" s="14" t="str">
        <x:v>NetQAD E2E 单步规划</x:v>
      </x:c>
      <x:c r="B277" s="14" t="str">
        <x:v>TC00000045</x:v>
      </x:c>
      <x:c r="C277" s="17" t="n">
        <x:v>62.6296</x:v>
      </x:c>
      <x:c r="D277" s="17" t="n">
        <x:v>55.2373</x:v>
      </x:c>
      <x:c r="E277" s="17" t="n">
        <x:f>C277-D277</x:f>
        <x:v>7.392300000000006</x:v>
      </x:c>
      <x:c r="F277" s="20" t="n">
        <x:f>IFERROR(E277/C277,0)</x:f>
        <x:v>0.1180320487437251</x:v>
      </x:c>
      <x:c r="G277" s="23" t="n">
        <x:v>1046</x:v>
      </x:c>
      <x:c r="H277" s="23" t="n">
        <x:v>105</x:v>
      </x:c>
      <x:c r="I277" s="23"/>
      <x:c r="J277" s="20"/>
      <x:c r="K277" s="26" t="n">
        <x:v>1</x:v>
      </x:c>
      <x:c r="L277" s="26" t="n">
        <x:v>1</x:v>
      </x:c>
      <x:c r="M277" s="14" t="str">
        <x:f>IF(AND(K277=1,L277=1),"both_correct",IF(K277=1,"vanilla_only",IF(L277=1,"candidate_only","both_wrong")))</x:f>
        <x:v>both_correct</x:v>
      </x:c>
      <x:c r="N277" s="26" t="n">
        <x:v>0</x:v>
      </x:c>
      <x:c r="O277" s="26" t="n">
        <x:v>0</x:v>
      </x:c>
    </x:row>
    <x:row r="278" ht="21" customHeight="1">
      <x:c r="A278" s="14" t="str">
        <x:v>NetQAD E2E 单步规划</x:v>
      </x:c>
      <x:c r="B278" s="14" t="str">
        <x:v>TC00000046</x:v>
      </x:c>
      <x:c r="C278" s="17" t="n">
        <x:v>70.347</x:v>
      </x:c>
      <x:c r="D278" s="17" t="n">
        <x:v>54.2851</x:v>
      </x:c>
      <x:c r="E278" s="17" t="n">
        <x:f>C278-D278</x:f>
        <x:v>16.061899999999994</x:v>
      </x:c>
      <x:c r="F278" s="20" t="n">
        <x:f>IFERROR(E278/C278,0)</x:f>
        <x:v>0.2283238801938959</x:v>
      </x:c>
      <x:c r="G278" s="23" t="n">
        <x:v>1198</x:v>
      </x:c>
      <x:c r="H278" s="23" t="n">
        <x:v>106</x:v>
      </x:c>
      <x:c r="I278" s="23"/>
      <x:c r="J278" s="20"/>
      <x:c r="K278" s="26" t="n">
        <x:v>1</x:v>
      </x:c>
      <x:c r="L278" s="26" t="n">
        <x:v>1</x:v>
      </x:c>
      <x:c r="M278" s="14" t="str">
        <x:f>IF(AND(K278=1,L278=1),"both_correct",IF(K278=1,"vanilla_only",IF(L278=1,"candidate_only","both_wrong")))</x:f>
        <x:v>both_correct</x:v>
      </x:c>
      <x:c r="N278" s="26" t="n">
        <x:v>0</x:v>
      </x:c>
      <x:c r="O278" s="26" t="n">
        <x:v>0</x:v>
      </x:c>
    </x:row>
    <x:row r="279" ht="21" customHeight="1">
      <x:c r="A279" s="14" t="str">
        <x:v>NetQAD E2E 单步规划</x:v>
      </x:c>
      <x:c r="B279" s="14" t="str">
        <x:v>TC00000047</x:v>
      </x:c>
      <x:c r="C279" s="17" t="n">
        <x:v>67.8627</x:v>
      </x:c>
      <x:c r="D279" s="17" t="n">
        <x:v>53.8784</x:v>
      </x:c>
      <x:c r="E279" s="17" t="n">
        <x:f>C279-D279</x:f>
        <x:v>13.984300000000005</x:v>
      </x:c>
      <x:c r="F279" s="20" t="n">
        <x:f>IFERROR(E279/C279,0)</x:f>
        <x:v>0.20606754520524537</x:v>
      </x:c>
      <x:c r="G279" s="23" t="n">
        <x:v>1202</x:v>
      </x:c>
      <x:c r="H279" s="23" t="n">
        <x:v>107</x:v>
      </x:c>
      <x:c r="I279" s="23"/>
      <x:c r="J279" s="20"/>
      <x:c r="K279" s="26" t="n">
        <x:v>1</x:v>
      </x:c>
      <x:c r="L279" s="26" t="n">
        <x:v>1</x:v>
      </x:c>
      <x:c r="M279" s="14" t="str">
        <x:f>IF(AND(K279=1,L279=1),"both_correct",IF(K279=1,"vanilla_only",IF(L279=1,"candidate_only","both_wrong")))</x:f>
        <x:v>both_correct</x:v>
      </x:c>
      <x:c r="N279" s="26" t="n">
        <x:v>0</x:v>
      </x:c>
      <x:c r="O279" s="26" t="n">
        <x:v>0</x:v>
      </x:c>
    </x:row>
    <x:row r="280" ht="21" customHeight="1">
      <x:c r="A280" s="14" t="str">
        <x:v>NetQAD E2E 单步规划</x:v>
      </x:c>
      <x:c r="B280" s="14" t="str">
        <x:v>TC00000048</x:v>
      </x:c>
      <x:c r="C280" s="17" t="n">
        <x:v>57.3363</x:v>
      </x:c>
      <x:c r="D280" s="17" t="n">
        <x:v>56.7628</x:v>
      </x:c>
      <x:c r="E280" s="17" t="n">
        <x:f>C280-D280</x:f>
        <x:v>0.5735000000000028</x:v>
      </x:c>
      <x:c r="F280" s="20" t="n">
        <x:f>IFERROR(E280/C280,0)</x:f>
        <x:v>0.01000238941124563</x:v>
      </x:c>
      <x:c r="G280" s="23" t="n">
        <x:v>972</x:v>
      </x:c>
      <x:c r="H280" s="23" t="n">
        <x:v>92</x:v>
      </x:c>
      <x:c r="I280" s="23"/>
      <x:c r="J280" s="20"/>
      <x:c r="K280" s="26" t="n">
        <x:v>1</x:v>
      </x:c>
      <x:c r="L280" s="26" t="n">
        <x:v>1</x:v>
      </x:c>
      <x:c r="M280" s="14" t="str">
        <x:f>IF(AND(K280=1,L280=1),"both_correct",IF(K280=1,"vanilla_only",IF(L280=1,"candidate_only","both_wrong")))</x:f>
        <x:v>both_correct</x:v>
      </x:c>
      <x:c r="N280" s="26" t="n">
        <x:v>0</x:v>
      </x:c>
      <x:c r="O280" s="26" t="n">
        <x:v>0</x:v>
      </x:c>
    </x:row>
    <x:row r="281" ht="21" customHeight="1">
      <x:c r="A281" s="14" t="str">
        <x:v>NetQAD E2E 单步规划</x:v>
      </x:c>
      <x:c r="B281" s="14" t="str">
        <x:v>TC00000049</x:v>
      </x:c>
      <x:c r="C281" s="17" t="n">
        <x:v>59.2802</x:v>
      </x:c>
      <x:c r="D281" s="17" t="n">
        <x:v>59.8207</x:v>
      </x:c>
      <x:c r="E281" s="17" t="n">
        <x:f>C281-D281</x:f>
        <x:v>-0.5405000000000015</x:v>
      </x:c>
      <x:c r="F281" s="20" t="n">
        <x:f>IFERROR(E281/C281,0)</x:f>
        <x:v>-0.009117715527275574</x:v>
      </x:c>
      <x:c r="G281" s="23" t="n">
        <x:v>1011</x:v>
      </x:c>
      <x:c r="H281" s="23" t="n">
        <x:v>123</x:v>
      </x:c>
      <x:c r="I281" s="23"/>
      <x:c r="J281" s="20"/>
      <x:c r="K281" s="26" t="n">
        <x:v>1</x:v>
      </x:c>
      <x:c r="L281" s="26" t="n">
        <x:v>1</x:v>
      </x:c>
      <x:c r="M281" s="14" t="str">
        <x:f>IF(AND(K281=1,L281=1),"both_correct",IF(K281=1,"vanilla_only",IF(L281=1,"candidate_only","both_wrong")))</x:f>
        <x:v>both_correct</x:v>
      </x:c>
      <x:c r="N281" s="26" t="n">
        <x:v>0</x:v>
      </x:c>
      <x:c r="O281" s="26" t="n">
        <x:v>0</x:v>
      </x:c>
    </x:row>
    <x:row r="282" ht="21" customHeight="1">
      <x:c r="A282" s="14" t="str">
        <x:v>NetQAD E2E 单步规划</x:v>
      </x:c>
      <x:c r="B282" s="14" t="str">
        <x:v>TC00000050</x:v>
      </x:c>
      <x:c r="C282" s="17" t="n">
        <x:v>53.2073</x:v>
      </x:c>
      <x:c r="D282" s="17" t="n">
        <x:v>54.5157</x:v>
      </x:c>
      <x:c r="E282" s="17" t="n">
        <x:f>C282-D282</x:f>
        <x:v>-1.308400000000006</x:v>
      </x:c>
      <x:c r="F282" s="20" t="n">
        <x:f>IFERROR(E282/C282,0)</x:f>
        <x:v>-0.024590610686879545</x:v>
      </x:c>
      <x:c r="G282" s="23" t="n">
        <x:v>918</x:v>
      </x:c>
      <x:c r="H282" s="23" t="n">
        <x:v>69</x:v>
      </x:c>
      <x:c r="I282" s="23"/>
      <x:c r="J282" s="20"/>
      <x:c r="K282" s="26" t="n">
        <x:v>1</x:v>
      </x:c>
      <x:c r="L282" s="26" t="n">
        <x:v>1</x:v>
      </x:c>
      <x:c r="M282" s="14" t="str">
        <x:f>IF(AND(K282=1,L282=1),"both_correct",IF(K282=1,"vanilla_only",IF(L282=1,"candidate_only","both_wrong")))</x:f>
        <x:v>both_correct</x:v>
      </x:c>
      <x:c r="N282" s="26" t="n">
        <x:v>0</x:v>
      </x:c>
      <x:c r="O282" s="26" t="n">
        <x:v>0</x:v>
      </x:c>
    </x:row>
    <x:row r="283" ht="21" customHeight="1">
      <x:c r="A283" s="14" t="str">
        <x:v>NetQAD E2E 单步规划</x:v>
      </x:c>
      <x:c r="B283" s="14" t="str">
        <x:v>TC00000051</x:v>
      </x:c>
      <x:c r="C283" s="17" t="n">
        <x:v>64.2854</x:v>
      </x:c>
      <x:c r="D283" s="17" t="n">
        <x:v>53.1403</x:v>
      </x:c>
      <x:c r="E283" s="17" t="n">
        <x:f>C283-D283</x:f>
        <x:v>11.145099999999992</x:v>
      </x:c>
      <x:c r="F283" s="20" t="n">
        <x:f>IFERROR(E283/C283,0)</x:f>
        <x:v>0.17336906980434116</x:v>
      </x:c>
      <x:c r="G283" s="23" t="n">
        <x:v>1124</x:v>
      </x:c>
      <x:c r="H283" s="23" t="n">
        <x:v>122</x:v>
      </x:c>
      <x:c r="I283" s="23"/>
      <x:c r="J283" s="20"/>
      <x:c r="K283" s="26" t="n">
        <x:v>1</x:v>
      </x:c>
      <x:c r="L283" s="26" t="n">
        <x:v>1</x:v>
      </x:c>
      <x:c r="M283" s="14" t="str">
        <x:f>IF(AND(K283=1,L283=1),"both_correct",IF(K283=1,"vanilla_only",IF(L283=1,"candidate_only","both_wrong")))</x:f>
        <x:v>both_correct</x:v>
      </x:c>
      <x:c r="N283" s="26" t="n">
        <x:v>0</x:v>
      </x:c>
      <x:c r="O283" s="26" t="n">
        <x:v>0</x:v>
      </x:c>
    </x:row>
    <x:row r="284" ht="21" customHeight="1">
      <x:c r="A284" s="14" t="str">
        <x:v>NetQAD E2E 单步规划</x:v>
      </x:c>
      <x:c r="B284" s="14" t="str">
        <x:v>TC00000052</x:v>
      </x:c>
      <x:c r="C284" s="17" t="n">
        <x:v>57.6725</x:v>
      </x:c>
      <x:c r="D284" s="17" t="n">
        <x:v>77.5718</x:v>
      </x:c>
      <x:c r="E284" s="17" t="n">
        <x:f>C284-D284</x:f>
        <x:v>-19.899299999999997</x:v>
      </x:c>
      <x:c r="F284" s="20" t="n">
        <x:f>IFERROR(E284/C284,0)</x:f>
        <x:v>-0.34503966361784205</x:v>
      </x:c>
      <x:c r="G284" s="23" t="n">
        <x:v>992</x:v>
      </x:c>
      <x:c r="H284" s="23" t="n">
        <x:v>93</x:v>
      </x:c>
      <x:c r="I284" s="23"/>
      <x:c r="J284" s="20"/>
      <x:c r="K284" s="26" t="n">
        <x:v>1</x:v>
      </x:c>
      <x:c r="L284" s="26" t="n">
        <x:v>1</x:v>
      </x:c>
      <x:c r="M284" s="14" t="str">
        <x:f>IF(AND(K284=1,L284=1),"both_correct",IF(K284=1,"vanilla_only",IF(L284=1,"candidate_only","both_wrong")))</x:f>
        <x:v>both_correct</x:v>
      </x:c>
      <x:c r="N284" s="26" t="n">
        <x:v>0</x:v>
      </x:c>
      <x:c r="O284" s="26" t="n">
        <x:v>0</x:v>
      </x:c>
    </x:row>
    <x:row r="285" ht="21" customHeight="1">
      <x:c r="A285" s="14" t="str">
        <x:v>NetQAD E2E 单步规划</x:v>
      </x:c>
      <x:c r="B285" s="14" t="str">
        <x:v>TC00000053</x:v>
      </x:c>
      <x:c r="C285" s="17" t="n">
        <x:v>61.5459</x:v>
      </x:c>
      <x:c r="D285" s="17" t="n">
        <x:v>63.442</x:v>
      </x:c>
      <x:c r="E285" s="17" t="n">
        <x:f>C285-D285</x:f>
        <x:v>-1.896099999999997</x:v>
      </x:c>
      <x:c r="F285" s="20" t="n">
        <x:f>IFERROR(E285/C285,0)</x:f>
        <x:v>-0.030807901094955098</x:v>
      </x:c>
      <x:c r="G285" s="23" t="n">
        <x:v>1070</x:v>
      </x:c>
      <x:c r="H285" s="23" t="n">
        <x:v>123</x:v>
      </x:c>
      <x:c r="I285" s="23"/>
      <x:c r="J285" s="20"/>
      <x:c r="K285" s="26" t="n">
        <x:v>1</x:v>
      </x:c>
      <x:c r="L285" s="26" t="n">
        <x:v>1</x:v>
      </x:c>
      <x:c r="M285" s="14" t="str">
        <x:f>IF(AND(K285=1,L285=1),"both_correct",IF(K285=1,"vanilla_only",IF(L285=1,"candidate_only","both_wrong")))</x:f>
        <x:v>both_correct</x:v>
      </x:c>
      <x:c r="N285" s="26" t="n">
        <x:v>0</x:v>
      </x:c>
      <x:c r="O285" s="26" t="n">
        <x:v>0</x:v>
      </x:c>
    </x:row>
    <x:row r="286" ht="21" customHeight="1">
      <x:c r="A286" s="14" t="str">
        <x:v>NetQAD E2E 单步规划</x:v>
      </x:c>
      <x:c r="B286" s="14" t="str">
        <x:v>TC00000054</x:v>
      </x:c>
      <x:c r="C286" s="17" t="n">
        <x:v>62.043</x:v>
      </x:c>
      <x:c r="D286" s="17" t="n">
        <x:v>60.5717</x:v>
      </x:c>
      <x:c r="E286" s="17" t="n">
        <x:f>C286-D286</x:f>
        <x:v>1.4712999999999994</x:v>
      </x:c>
      <x:c r="F286" s="20" t="n">
        <x:f>IFERROR(E286/C286,0)</x:f>
        <x:v>0.023714198217365368</x:v>
      </x:c>
      <x:c r="G286" s="23" t="n">
        <x:v>1054</x:v>
      </x:c>
      <x:c r="H286" s="23" t="n">
        <x:v>105</x:v>
      </x:c>
      <x:c r="I286" s="23"/>
      <x:c r="J286" s="20"/>
      <x:c r="K286" s="26" t="n">
        <x:v>1</x:v>
      </x:c>
      <x:c r="L286" s="26" t="n">
        <x:v>1</x:v>
      </x:c>
      <x:c r="M286" s="14" t="str">
        <x:f>IF(AND(K286=1,L286=1),"both_correct",IF(K286=1,"vanilla_only",IF(L286=1,"candidate_only","both_wrong")))</x:f>
        <x:v>both_correct</x:v>
      </x:c>
      <x:c r="N286" s="26" t="n">
        <x:v>0</x:v>
      </x:c>
      <x:c r="O286" s="26" t="n">
        <x:v>0</x:v>
      </x:c>
    </x:row>
    <x:row r="287" ht="21" customHeight="1">
      <x:c r="A287" s="14" t="str">
        <x:v>NetQAD E2E 单步规划</x:v>
      </x:c>
      <x:c r="B287" s="14" t="str">
        <x:v>TC00000055</x:v>
      </x:c>
      <x:c r="C287" s="17" t="n">
        <x:v>71.1262</x:v>
      </x:c>
      <x:c r="D287" s="17" t="n">
        <x:v>59.84</x:v>
      </x:c>
      <x:c r="E287" s="17" t="n">
        <x:f>C287-D287</x:f>
        <x:v>11.286199999999994</x:v>
      </x:c>
      <x:c r="F287" s="20" t="n">
        <x:f>IFERROR(E287/C287,0)</x:f>
        <x:v>0.1586785179019826</x:v>
      </x:c>
      <x:c r="G287" s="23" t="n">
        <x:v>1181</x:v>
      </x:c>
      <x:c r="H287" s="23" t="n">
        <x:v>103</x:v>
      </x:c>
      <x:c r="I287" s="23"/>
      <x:c r="J287" s="20"/>
      <x:c r="K287" s="26" t="n">
        <x:v>1</x:v>
      </x:c>
      <x:c r="L287" s="26" t="n">
        <x:v>1</x:v>
      </x:c>
      <x:c r="M287" s="14" t="str">
        <x:f>IF(AND(K287=1,L287=1),"both_correct",IF(K287=1,"vanilla_only",IF(L287=1,"candidate_only","both_wrong")))</x:f>
        <x:v>both_correct</x:v>
      </x:c>
      <x:c r="N287" s="26" t="n">
        <x:v>0</x:v>
      </x:c>
      <x:c r="O287" s="26" t="n">
        <x:v>0</x:v>
      </x:c>
    </x:row>
    <x:row r="288" ht="21" customHeight="1">
      <x:c r="A288" s="14" t="str">
        <x:v>NetQAD E2E 单步规划</x:v>
      </x:c>
      <x:c r="B288" s="14" t="str">
        <x:v>TC00000056</x:v>
      </x:c>
      <x:c r="C288" s="17" t="n">
        <x:v>49.3706</x:v>
      </x:c>
      <x:c r="D288" s="17" t="n">
        <x:v>60.5988</x:v>
      </x:c>
      <x:c r="E288" s="17" t="n">
        <x:f>C288-D288</x:f>
        <x:v>-11.228199999999994</x:v>
      </x:c>
      <x:c r="F288" s="20" t="n">
        <x:f>IFERROR(E288/C288,0)</x:f>
        <x:v>-0.22742684917744554</x:v>
      </x:c>
      <x:c r="G288" s="23" t="n">
        <x:v>763</x:v>
      </x:c>
      <x:c r="H288" s="23" t="n">
        <x:v>91</x:v>
      </x:c>
      <x:c r="I288" s="23"/>
      <x:c r="J288" s="20"/>
      <x:c r="K288" s="26" t="n">
        <x:v>1</x:v>
      </x:c>
      <x:c r="L288" s="26" t="n">
        <x:v>1</x:v>
      </x:c>
      <x:c r="M288" s="14" t="str">
        <x:f>IF(AND(K288=1,L288=1),"both_correct",IF(K288=1,"vanilla_only",IF(L288=1,"candidate_only","both_wrong")))</x:f>
        <x:v>both_correct</x:v>
      </x:c>
      <x:c r="N288" s="26" t="n">
        <x:v>0</x:v>
      </x:c>
      <x:c r="O288" s="26" t="n">
        <x:v>0</x:v>
      </x:c>
    </x:row>
    <x:row r="289" ht="21" customHeight="1">
      <x:c r="A289" s="14" t="str">
        <x:v>NetQAD E2E 单步规划</x:v>
      </x:c>
      <x:c r="B289" s="14" t="str">
        <x:v>TC00000057</x:v>
      </x:c>
      <x:c r="C289" s="17" t="n">
        <x:v>63.0278</x:v>
      </x:c>
      <x:c r="D289" s="17" t="n">
        <x:v>31.317</x:v>
      </x:c>
      <x:c r="E289" s="17" t="n">
        <x:f>C289-D289</x:f>
        <x:v>31.7108</x:v>
      </x:c>
      <x:c r="F289" s="20" t="n">
        <x:f>IFERROR(E289/C289,0)</x:f>
        <x:v>0.5031240182903417</x:v>
      </x:c>
      <x:c r="G289" s="23" t="n">
        <x:v>1105</x:v>
      </x:c>
      <x:c r="H289" s="23" t="n">
        <x:v>92</x:v>
      </x:c>
      <x:c r="I289" s="23"/>
      <x:c r="J289" s="20"/>
      <x:c r="K289" s="26" t="n">
        <x:v>1</x:v>
      </x:c>
      <x:c r="L289" s="26" t="n">
        <x:v>1</x:v>
      </x:c>
      <x:c r="M289" s="14" t="str">
        <x:f>IF(AND(K289=1,L289=1),"both_correct",IF(K289=1,"vanilla_only",IF(L289=1,"candidate_only","both_wrong")))</x:f>
        <x:v>both_correct</x:v>
      </x:c>
      <x:c r="N289" s="26" t="n">
        <x:v>0</x:v>
      </x:c>
      <x:c r="O289" s="26" t="n">
        <x:v>0</x:v>
      </x:c>
    </x:row>
    <x:row r="290" ht="21" customHeight="1">
      <x:c r="A290" s="14" t="str">
        <x:v>NetQAD E2E 单步规划</x:v>
      </x:c>
      <x:c r="B290" s="14" t="str">
        <x:v>TC00000058</x:v>
      </x:c>
      <x:c r="C290" s="17" t="n">
        <x:v>69.1213</x:v>
      </x:c>
      <x:c r="D290" s="17" t="n">
        <x:v>36.388</x:v>
      </x:c>
      <x:c r="E290" s="17" t="n">
        <x:f>C290-D290</x:f>
        <x:v>32.73330000000001</x:v>
      </x:c>
      <x:c r="F290" s="20" t="n">
        <x:f>IFERROR(E290/C290,0)</x:f>
        <x:v>0.4735631418969262</x:v>
      </x:c>
      <x:c r="G290" s="23" t="n">
        <x:v>1223</x:v>
      </x:c>
      <x:c r="H290" s="23" t="n">
        <x:v>133</x:v>
      </x:c>
      <x:c r="I290" s="23"/>
      <x:c r="J290" s="20"/>
      <x:c r="K290" s="26" t="n">
        <x:v>1</x:v>
      </x:c>
      <x:c r="L290" s="26" t="n">
        <x:v>1</x:v>
      </x:c>
      <x:c r="M290" s="14" t="str">
        <x:f>IF(AND(K290=1,L290=1),"both_correct",IF(K290=1,"vanilla_only",IF(L290=1,"candidate_only","both_wrong")))</x:f>
        <x:v>both_correct</x:v>
      </x:c>
      <x:c r="N290" s="26" t="n">
        <x:v>0</x:v>
      </x:c>
      <x:c r="O290" s="26" t="n">
        <x:v>0</x:v>
      </x:c>
    </x:row>
    <x:row r="291" ht="21" customHeight="1">
      <x:c r="A291" s="14" t="str">
        <x:v>NetQAD E2E 单步规划</x:v>
      </x:c>
      <x:c r="B291" s="14" t="str">
        <x:v>TC00000059</x:v>
      </x:c>
      <x:c r="C291" s="17" t="n">
        <x:v>62.6526</x:v>
      </x:c>
      <x:c r="D291" s="17" t="n">
        <x:v>64.5965</x:v>
      </x:c>
      <x:c r="E291" s="17" t="n">
        <x:f>C291-D291</x:f>
        <x:v>-1.9439000000000064</x:v>
      </x:c>
      <x:c r="F291" s="20" t="n">
        <x:f>IFERROR(E291/C291,0)</x:f>
        <x:v>-0.03102664534273129</x:v>
      </x:c>
      <x:c r="G291" s="23" t="n">
        <x:v>1088</x:v>
      </x:c>
      <x:c r="H291" s="23" t="n">
        <x:v>95</x:v>
      </x:c>
      <x:c r="I291" s="23"/>
      <x:c r="J291" s="20"/>
      <x:c r="K291" s="26" t="n">
        <x:v>1</x:v>
      </x:c>
      <x:c r="L291" s="26" t="n">
        <x:v>1</x:v>
      </x:c>
      <x:c r="M291" s="14" t="str">
        <x:f>IF(AND(K291=1,L291=1),"both_correct",IF(K291=1,"vanilla_only",IF(L291=1,"candidate_only","both_wrong")))</x:f>
        <x:v>both_correct</x:v>
      </x:c>
      <x:c r="N291" s="26" t="n">
        <x:v>0</x:v>
      </x:c>
      <x:c r="O291" s="26" t="n">
        <x:v>0</x:v>
      </x:c>
    </x:row>
    <x:row r="292" ht="21" customHeight="1">
      <x:c r="A292" s="14" t="str">
        <x:v>NetQAD E2E 单步规划</x:v>
      </x:c>
      <x:c r="B292" s="14" t="str">
        <x:v>TC00000060</x:v>
      </x:c>
      <x:c r="C292" s="17" t="n">
        <x:v>79.0858</x:v>
      </x:c>
      <x:c r="D292" s="17" t="n">
        <x:v>87.8199</x:v>
      </x:c>
      <x:c r="E292" s="17" t="n">
        <x:f>C292-D292</x:f>
        <x:v>-8.734099999999998</x:v>
      </x:c>
      <x:c r="F292" s="20" t="n">
        <x:f>IFERROR(E292/C292,0)</x:f>
        <x:v>-0.11043828348451931</x:v>
      </x:c>
      <x:c r="G292" s="23" t="n">
        <x:v>1296</x:v>
      </x:c>
      <x:c r="H292" s="23" t="n">
        <x:v>85</x:v>
      </x:c>
      <x:c r="I292" s="23"/>
      <x:c r="J292" s="20"/>
      <x:c r="K292" s="26" t="n">
        <x:v>1</x:v>
      </x:c>
      <x:c r="L292" s="26" t="n">
        <x:v>1</x:v>
      </x:c>
      <x:c r="M292" s="14" t="str">
        <x:f>IF(AND(K292=1,L292=1),"both_correct",IF(K292=1,"vanilla_only",IF(L292=1,"candidate_only","both_wrong")))</x:f>
        <x:v>both_correct</x:v>
      </x:c>
      <x:c r="N292" s="26" t="n">
        <x:v>0</x:v>
      </x:c>
      <x:c r="O292" s="26" t="n">
        <x:v>0</x:v>
      </x:c>
    </x:row>
    <x:row r="293" ht="21" customHeight="1">
      <x:c r="A293" s="14" t="str">
        <x:v>NetQAD E2E 单步规划</x:v>
      </x:c>
      <x:c r="B293" s="14" t="str">
        <x:v>TC00000061</x:v>
      </x:c>
      <x:c r="C293" s="17" t="n">
        <x:v>63.7524</x:v>
      </x:c>
      <x:c r="D293" s="17" t="n">
        <x:v>37.9682</x:v>
      </x:c>
      <x:c r="E293" s="17" t="n">
        <x:f>C293-D293</x:f>
        <x:v>25.7842</x:v>
      </x:c>
      <x:c r="F293" s="20" t="n">
        <x:f>IFERROR(E293/C293,0)</x:f>
        <x:v>0.40444281313330943</x:v>
      </x:c>
      <x:c r="G293" s="23" t="n">
        <x:v>1060</x:v>
      </x:c>
      <x:c r="H293" s="23" t="n">
        <x:v>98</x:v>
      </x:c>
      <x:c r="I293" s="23"/>
      <x:c r="J293" s="20"/>
      <x:c r="K293" s="26" t="n">
        <x:v>1</x:v>
      </x:c>
      <x:c r="L293" s="26" t="n">
        <x:v>1</x:v>
      </x:c>
      <x:c r="M293" s="14" t="str">
        <x:f>IF(AND(K293=1,L293=1),"both_correct",IF(K293=1,"vanilla_only",IF(L293=1,"candidate_only","both_wrong")))</x:f>
        <x:v>both_correct</x:v>
      </x:c>
      <x:c r="N293" s="26" t="n">
        <x:v>0</x:v>
      </x:c>
      <x:c r="O293" s="26" t="n">
        <x:v>0</x:v>
      </x:c>
    </x:row>
    <x:row r="294" ht="21" customHeight="1">
      <x:c r="A294" s="14" t="str">
        <x:v>NetQAD E2E 单步规划</x:v>
      </x:c>
      <x:c r="B294" s="14" t="str">
        <x:v>TC00000062</x:v>
      </x:c>
      <x:c r="C294" s="17" t="n">
        <x:v>52.8032</x:v>
      </x:c>
      <x:c r="D294" s="17" t="n">
        <x:v>57.8683</x:v>
      </x:c>
      <x:c r="E294" s="17" t="n">
        <x:f>C294-D294</x:f>
        <x:v>-5.065100000000001</x:v>
      </x:c>
      <x:c r="F294" s="20" t="n">
        <x:f>IFERROR(E294/C294,0)</x:f>
        <x:v>-0.09592411065996002</x:v>
      </x:c>
      <x:c r="G294" s="23" t="n">
        <x:v>903</x:v>
      </x:c>
      <x:c r="H294" s="23" t="n">
        <x:v>71</x:v>
      </x:c>
      <x:c r="I294" s="23"/>
      <x:c r="J294" s="20"/>
      <x:c r="K294" s="26" t="n">
        <x:v>1</x:v>
      </x:c>
      <x:c r="L294" s="26" t="n">
        <x:v>1</x:v>
      </x:c>
      <x:c r="M294" s="14" t="str">
        <x:f>IF(AND(K294=1,L294=1),"both_correct",IF(K294=1,"vanilla_only",IF(L294=1,"candidate_only","both_wrong")))</x:f>
        <x:v>both_correct</x:v>
      </x:c>
      <x:c r="N294" s="26" t="n">
        <x:v>0</x:v>
      </x:c>
      <x:c r="O294" s="26" t="n">
        <x:v>0</x:v>
      </x:c>
    </x:row>
    <x:row r="295" ht="21" customHeight="1">
      <x:c r="A295" s="14" t="str">
        <x:v>NetQAD E2E 单步规划</x:v>
      </x:c>
      <x:c r="B295" s="14" t="str">
        <x:v>TC00000063</x:v>
      </x:c>
      <x:c r="C295" s="17" t="n">
        <x:v>60.0579</x:v>
      </x:c>
      <x:c r="D295" s="17" t="n">
        <x:v>55.5815</x:v>
      </x:c>
      <x:c r="E295" s="17" t="n">
        <x:f>C295-D295</x:f>
        <x:v>4.476399999999998</x:v>
      </x:c>
      <x:c r="F295" s="20" t="n">
        <x:f>IFERROR(E295/C295,0)</x:f>
        <x:v>0.07453474064194716</x:v>
      </x:c>
      <x:c r="G295" s="23" t="n">
        <x:v>991</x:v>
      </x:c>
      <x:c r="H295" s="23" t="n">
        <x:v>95</x:v>
      </x:c>
      <x:c r="I295" s="23"/>
      <x:c r="J295" s="20"/>
      <x:c r="K295" s="26" t="n">
        <x:v>1</x:v>
      </x:c>
      <x:c r="L295" s="26" t="n">
        <x:v>1</x:v>
      </x:c>
      <x:c r="M295" s="14" t="str">
        <x:f>IF(AND(K295=1,L295=1),"both_correct",IF(K295=1,"vanilla_only",IF(L295=1,"candidate_only","both_wrong")))</x:f>
        <x:v>both_correct</x:v>
      </x:c>
      <x:c r="N295" s="26" t="n">
        <x:v>0</x:v>
      </x:c>
      <x:c r="O295" s="26" t="n">
        <x:v>0</x:v>
      </x:c>
    </x:row>
    <x:row r="296" ht="21" customHeight="1">
      <x:c r="A296" s="14" t="str">
        <x:v>NetQAD E2E 单步规划</x:v>
      </x:c>
      <x:c r="B296" s="14" t="str">
        <x:v>TC00000064</x:v>
      </x:c>
      <x:c r="C296" s="17" t="n">
        <x:v>47.4872</x:v>
      </x:c>
      <x:c r="D296" s="17" t="n">
        <x:v>57.815</x:v>
      </x:c>
      <x:c r="E296" s="17" t="n">
        <x:f>C296-D296</x:f>
        <x:v>-10.327799999999996</x:v>
      </x:c>
      <x:c r="F296" s="20" t="n">
        <x:f>IFERROR(E296/C296,0)</x:f>
        <x:v>-0.2174859751680452</x:v>
      </x:c>
      <x:c r="G296" s="23" t="n">
        <x:v>785</x:v>
      </x:c>
      <x:c r="H296" s="23" t="n">
        <x:v>83</x:v>
      </x:c>
      <x:c r="I296" s="23"/>
      <x:c r="J296" s="20"/>
      <x:c r="K296" s="26" t="n">
        <x:v>1</x:v>
      </x:c>
      <x:c r="L296" s="26" t="n">
        <x:v>1</x:v>
      </x:c>
      <x:c r="M296" s="14" t="str">
        <x:f>IF(AND(K296=1,L296=1),"both_correct",IF(K296=1,"vanilla_only",IF(L296=1,"candidate_only","both_wrong")))</x:f>
        <x:v>both_correct</x:v>
      </x:c>
      <x:c r="N296" s="26" t="n">
        <x:v>0</x:v>
      </x:c>
      <x:c r="O296" s="26" t="n">
        <x:v>0</x:v>
      </x:c>
    </x:row>
    <x:row r="297" ht="21" customHeight="1">
      <x:c r="A297" s="14" t="str">
        <x:v>NetQAD E2E 单步规划</x:v>
      </x:c>
      <x:c r="B297" s="14" t="str">
        <x:v>TC00000065</x:v>
      </x:c>
      <x:c r="C297" s="17" t="n">
        <x:v>62.8519</x:v>
      </x:c>
      <x:c r="D297" s="17" t="n">
        <x:v>57.0316</x:v>
      </x:c>
      <x:c r="E297" s="17" t="n">
        <x:f>C297-D297</x:f>
        <x:v>5.820300000000003</x:v>
      </x:c>
      <x:c r="F297" s="20" t="n">
        <x:f>IFERROR(E297/C297,0)</x:f>
        <x:v>0.0926034057840734</x:v>
      </x:c>
      <x:c r="G297" s="23" t="n">
        <x:v>1077</x:v>
      </x:c>
      <x:c r="H297" s="23" t="n">
        <x:v>114</x:v>
      </x:c>
      <x:c r="I297" s="23"/>
      <x:c r="J297" s="20"/>
      <x:c r="K297" s="26" t="n">
        <x:v>1</x:v>
      </x:c>
      <x:c r="L297" s="26" t="n">
        <x:v>1</x:v>
      </x:c>
      <x:c r="M297" s="14" t="str">
        <x:f>IF(AND(K297=1,L297=1),"both_correct",IF(K297=1,"vanilla_only",IF(L297=1,"candidate_only","both_wrong")))</x:f>
        <x:v>both_correct</x:v>
      </x:c>
      <x:c r="N297" s="26" t="n">
        <x:v>0</x:v>
      </x:c>
      <x:c r="O297" s="26" t="n">
        <x:v>0</x:v>
      </x:c>
    </x:row>
    <x:row r="298" ht="21" customHeight="1">
      <x:c r="A298" s="14" t="str">
        <x:v>NetQAD E2E 单步规划</x:v>
      </x:c>
      <x:c r="B298" s="14" t="str">
        <x:v>TC00000066</x:v>
      </x:c>
      <x:c r="C298" s="17" t="n">
        <x:v>63.2739</x:v>
      </x:c>
      <x:c r="D298" s="17" t="n">
        <x:v>72.6299</x:v>
      </x:c>
      <x:c r="E298" s="17" t="n">
        <x:f>C298-D298</x:f>
        <x:v>-9.356000000000009</x:v>
      </x:c>
      <x:c r="F298" s="20" t="n">
        <x:f>IFERROR(E298/C298,0)</x:f>
        <x:v>-0.14786507548926192</x:v>
      </x:c>
      <x:c r="G298" s="23" t="n">
        <x:v>1110</x:v>
      </x:c>
      <x:c r="H298" s="23" t="n">
        <x:v>92</x:v>
      </x:c>
      <x:c r="I298" s="23"/>
      <x:c r="J298" s="20"/>
      <x:c r="K298" s="26" t="n">
        <x:v>1</x:v>
      </x:c>
      <x:c r="L298" s="26" t="n">
        <x:v>1</x:v>
      </x:c>
      <x:c r="M298" s="14" t="str">
        <x:f>IF(AND(K298=1,L298=1),"both_correct",IF(K298=1,"vanilla_only",IF(L298=1,"candidate_only","both_wrong")))</x:f>
        <x:v>both_correct</x:v>
      </x:c>
      <x:c r="N298" s="26" t="n">
        <x:v>0</x:v>
      </x:c>
      <x:c r="O298" s="26" t="n">
        <x:v>0</x:v>
      </x:c>
    </x:row>
    <x:row r="299" ht="21" customHeight="1">
      <x:c r="A299" s="14" t="str">
        <x:v>NetQAD E2E 单步规划</x:v>
      </x:c>
      <x:c r="B299" s="14" t="str">
        <x:v>TC00000067</x:v>
      </x:c>
      <x:c r="C299" s="17" t="n">
        <x:v>57.2419</x:v>
      </x:c>
      <x:c r="D299" s="17" t="n">
        <x:v>74.3865</x:v>
      </x:c>
      <x:c r="E299" s="17" t="n">
        <x:f>C299-D299</x:f>
        <x:v>-17.144599999999997</x:v>
      </x:c>
      <x:c r="F299" s="20" t="n">
        <x:f>IFERROR(E299/C299,0)</x:f>
        <x:v>-0.2995113719146289</x:v>
      </x:c>
      <x:c r="G299" s="23" t="n">
        <x:v>934</x:v>
      </x:c>
      <x:c r="H299" s="23" t="n">
        <x:v>91</x:v>
      </x:c>
      <x:c r="I299" s="23"/>
      <x:c r="J299" s="20"/>
      <x:c r="K299" s="26" t="n">
        <x:v>1</x:v>
      </x:c>
      <x:c r="L299" s="26" t="n">
        <x:v>1</x:v>
      </x:c>
      <x:c r="M299" s="14" t="str">
        <x:f>IF(AND(K299=1,L299=1),"both_correct",IF(K299=1,"vanilla_only",IF(L299=1,"candidate_only","both_wrong")))</x:f>
        <x:v>both_correct</x:v>
      </x:c>
      <x:c r="N299" s="26" t="n">
        <x:v>0</x:v>
      </x:c>
      <x:c r="O299" s="26" t="n">
        <x:v>0</x:v>
      </x:c>
    </x:row>
    <x:row r="300" ht="21" customHeight="1">
      <x:c r="A300" s="14" t="str">
        <x:v>NetQAD E2E 单步规划</x:v>
      </x:c>
      <x:c r="B300" s="14" t="str">
        <x:v>TC00000068</x:v>
      </x:c>
      <x:c r="C300" s="17" t="n">
        <x:v>65.741</x:v>
      </x:c>
      <x:c r="D300" s="17" t="n">
        <x:v>81.2411</x:v>
      </x:c>
      <x:c r="E300" s="17" t="n">
        <x:f>C300-D300</x:f>
        <x:v>-15.500100000000003</x:v>
      </x:c>
      <x:c r="F300" s="20" t="n">
        <x:f>IFERROR(E300/C300,0)</x:f>
        <x:v>-0.23577523919623983</x:v>
      </x:c>
      <x:c r="G300" s="23" t="n">
        <x:v>1074</x:v>
      </x:c>
      <x:c r="H300" s="23" t="n">
        <x:v>103</x:v>
      </x:c>
      <x:c r="I300" s="23"/>
      <x:c r="J300" s="20"/>
      <x:c r="K300" s="26" t="n">
        <x:v>1</x:v>
      </x:c>
      <x:c r="L300" s="26" t="n">
        <x:v>1</x:v>
      </x:c>
      <x:c r="M300" s="14" t="str">
        <x:f>IF(AND(K300=1,L300=1),"both_correct",IF(K300=1,"vanilla_only",IF(L300=1,"candidate_only","both_wrong")))</x:f>
        <x:v>both_correct</x:v>
      </x:c>
      <x:c r="N300" s="26" t="n">
        <x:v>0</x:v>
      </x:c>
      <x:c r="O300" s="26" t="n">
        <x:v>0</x:v>
      </x:c>
    </x:row>
    <x:row r="301" ht="21" customHeight="1">
      <x:c r="A301" s="14" t="str">
        <x:v>NetQAD E2E 单步规划</x:v>
      </x:c>
      <x:c r="B301" s="14" t="str">
        <x:v>TC00000069</x:v>
      </x:c>
      <x:c r="C301" s="17" t="n">
        <x:v>64.051</x:v>
      </x:c>
      <x:c r="D301" s="17" t="n">
        <x:v>52.1139</x:v>
      </x:c>
      <x:c r="E301" s="17" t="n">
        <x:f>C301-D301</x:f>
        <x:v>11.937100000000001</x:v>
      </x:c>
      <x:c r="F301" s="20" t="n">
        <x:f>IFERROR(E301/C301,0)</x:f>
        <x:v>0.18636867496213955</x:v>
      </x:c>
      <x:c r="G301" s="23" t="n">
        <x:v>1075</x:v>
      </x:c>
      <x:c r="H301" s="23" t="n">
        <x:v>84</x:v>
      </x:c>
      <x:c r="I301" s="23"/>
      <x:c r="J301" s="20"/>
      <x:c r="K301" s="26" t="n">
        <x:v>1</x:v>
      </x:c>
      <x:c r="L301" s="26" t="n">
        <x:v>1</x:v>
      </x:c>
      <x:c r="M301" s="14" t="str">
        <x:f>IF(AND(K301=1,L301=1),"both_correct",IF(K301=1,"vanilla_only",IF(L301=1,"candidate_only","both_wrong")))</x:f>
        <x:v>both_correct</x:v>
      </x:c>
      <x:c r="N301" s="26" t="n">
        <x:v>0</x:v>
      </x:c>
      <x:c r="O301" s="26" t="n">
        <x:v>0</x:v>
      </x:c>
    </x:row>
    <x:row r="302" ht="21" customHeight="1">
      <x:c r="A302" s="14" t="str">
        <x:v>NetQAD E2E 单步规划</x:v>
      </x:c>
      <x:c r="B302" s="14" t="str">
        <x:v>TC00000070</x:v>
      </x:c>
      <x:c r="C302" s="17" t="n">
        <x:v>69.1779</x:v>
      </x:c>
      <x:c r="D302" s="17" t="n">
        <x:v>60.1956</x:v>
      </x:c>
      <x:c r="E302" s="17" t="n">
        <x:f>C302-D302</x:f>
        <x:v>8.982299999999995</x:v>
      </x:c>
      <x:c r="F302" s="20" t="n">
        <x:f>IFERROR(E302/C302,0)</x:f>
        <x:v>0.12984349047889565</x:v>
      </x:c>
      <x:c r="G302" s="23" t="n">
        <x:v>1064</x:v>
      </x:c>
      <x:c r="H302" s="23" t="n">
        <x:v>100</x:v>
      </x:c>
      <x:c r="I302" s="23"/>
      <x:c r="J302" s="20"/>
      <x:c r="K302" s="26" t="n">
        <x:v>1</x:v>
      </x:c>
      <x:c r="L302" s="26" t="n">
        <x:v>1</x:v>
      </x:c>
      <x:c r="M302" s="14" t="str">
        <x:f>IF(AND(K302=1,L302=1),"both_correct",IF(K302=1,"vanilla_only",IF(L302=1,"candidate_only","both_wrong")))</x:f>
        <x:v>both_correct</x:v>
      </x:c>
      <x:c r="N302" s="26" t="n">
        <x:v>0</x:v>
      </x:c>
      <x:c r="O302" s="26" t="n">
        <x:v>0</x:v>
      </x:c>
    </x:row>
    <x:row r="303" ht="21" customHeight="1">
      <x:c r="A303" s="14" t="str">
        <x:v>NetQAD E2E 单步规划</x:v>
      </x:c>
      <x:c r="B303" s="14" t="str">
        <x:v>TC00000071</x:v>
      </x:c>
      <x:c r="C303" s="17" t="n">
        <x:v>63.737</x:v>
      </x:c>
      <x:c r="D303" s="17" t="n">
        <x:v>78.7007</x:v>
      </x:c>
      <x:c r="E303" s="17" t="n">
        <x:f>C303-D303</x:f>
        <x:v>-14.963699999999996</x:v>
      </x:c>
      <x:c r="F303" s="20" t="n">
        <x:f>IFERROR(E303/C303,0)</x:f>
        <x:v>-0.23477258107535648</x:v>
      </x:c>
      <x:c r="G303" s="23" t="n">
        <x:v>1064</x:v>
      </x:c>
      <x:c r="H303" s="23" t="n">
        <x:v>76</x:v>
      </x:c>
      <x:c r="I303" s="23"/>
      <x:c r="J303" s="20"/>
      <x:c r="K303" s="26" t="n">
        <x:v>1</x:v>
      </x:c>
      <x:c r="L303" s="26" t="n">
        <x:v>1</x:v>
      </x:c>
      <x:c r="M303" s="14" t="str">
        <x:f>IF(AND(K303=1,L303=1),"both_correct",IF(K303=1,"vanilla_only",IF(L303=1,"candidate_only","both_wrong")))</x:f>
        <x:v>both_correct</x:v>
      </x:c>
      <x:c r="N303" s="26" t="n">
        <x:v>0</x:v>
      </x:c>
      <x:c r="O303" s="26" t="n">
        <x:v>0</x:v>
      </x:c>
    </x:row>
    <x:row r="304" ht="21" customHeight="1">
      <x:c r="A304" s="14" t="str">
        <x:v>NetQAD E2E 单步规划</x:v>
      </x:c>
      <x:c r="B304" s="14" t="str">
        <x:v>TC00000072</x:v>
      </x:c>
      <x:c r="C304" s="17" t="n">
        <x:v>59.558</x:v>
      </x:c>
      <x:c r="D304" s="17" t="n">
        <x:v>59.5375</x:v>
      </x:c>
      <x:c r="E304" s="17" t="n">
        <x:f>C304-D304</x:f>
        <x:v>0.02049999999999841</x:v>
      </x:c>
      <x:c r="F304" s="20" t="n">
        <x:f>IFERROR(E304/C304,0)</x:f>
        <x:v>0.0003442022902044798</x:v>
      </x:c>
      <x:c r="G304" s="23" t="n">
        <x:v>973</x:v>
      </x:c>
      <x:c r="H304" s="23" t="n">
        <x:v>65</x:v>
      </x:c>
      <x:c r="I304" s="23"/>
      <x:c r="J304" s="20"/>
      <x:c r="K304" s="26" t="n">
        <x:v>1</x:v>
      </x:c>
      <x:c r="L304" s="26" t="n">
        <x:v>1</x:v>
      </x:c>
      <x:c r="M304" s="14" t="str">
        <x:f>IF(AND(K304=1,L304=1),"both_correct",IF(K304=1,"vanilla_only",IF(L304=1,"candidate_only","both_wrong")))</x:f>
        <x:v>both_correct</x:v>
      </x:c>
      <x:c r="N304" s="26" t="n">
        <x:v>0</x:v>
      </x:c>
      <x:c r="O304" s="26" t="n">
        <x:v>0</x:v>
      </x:c>
    </x:row>
    <x:row r="305" ht="21" customHeight="1">
      <x:c r="A305" s="14" t="str">
        <x:v>NetQAD E2E 单步规划</x:v>
      </x:c>
      <x:c r="B305" s="14" t="str">
        <x:v>TC00000073</x:v>
      </x:c>
      <x:c r="C305" s="17" t="n">
        <x:v>69.191</x:v>
      </x:c>
      <x:c r="D305" s="17" t="n">
        <x:v>58.3013</x:v>
      </x:c>
      <x:c r="E305" s="17" t="n">
        <x:f>C305-D305</x:f>
        <x:v>10.889700000000005</x:v>
      </x:c>
      <x:c r="F305" s="20" t="n">
        <x:f>IFERROR(E305/C305,0)</x:f>
        <x:v>0.1573860762237864</x:v>
      </x:c>
      <x:c r="G305" s="23" t="n">
        <x:v>1085</x:v>
      </x:c>
      <x:c r="H305" s="23" t="n">
        <x:v>102</x:v>
      </x:c>
      <x:c r="I305" s="23"/>
      <x:c r="J305" s="20"/>
      <x:c r="K305" s="26" t="n">
        <x:v>1</x:v>
      </x:c>
      <x:c r="L305" s="26" t="n">
        <x:v>1</x:v>
      </x:c>
      <x:c r="M305" s="14" t="str">
        <x:f>IF(AND(K305=1,L305=1),"both_correct",IF(K305=1,"vanilla_only",IF(L305=1,"candidate_only","both_wrong")))</x:f>
        <x:v>both_correct</x:v>
      </x:c>
      <x:c r="N305" s="26" t="n">
        <x:v>0</x:v>
      </x:c>
      <x:c r="O305" s="26" t="n">
        <x:v>0</x:v>
      </x:c>
    </x:row>
    <x:row r="306" ht="21" customHeight="1">
      <x:c r="A306" s="14" t="str">
        <x:v>NetQAD E2E 单步规划</x:v>
      </x:c>
      <x:c r="B306" s="14" t="str">
        <x:v>TC00000074</x:v>
      </x:c>
      <x:c r="C306" s="17" t="n">
        <x:v>66.7051</x:v>
      </x:c>
      <x:c r="D306" s="17" t="n">
        <x:v>32.9255</x:v>
      </x:c>
      <x:c r="E306" s="17" t="n">
        <x:f>C306-D306</x:f>
        <x:v>33.7796</x:v>
      </x:c>
      <x:c r="F306" s="20" t="n">
        <x:f>IFERROR(E306/C306,0)</x:f>
        <x:v>0.5064020592128639</x:v>
      </x:c>
      <x:c r="G306" s="23" t="n">
        <x:v>1069</x:v>
      </x:c>
      <x:c r="H306" s="23" t="n">
        <x:v>120</x:v>
      </x:c>
      <x:c r="I306" s="23"/>
      <x:c r="J306" s="20"/>
      <x:c r="K306" s="26" t="n">
        <x:v>1</x:v>
      </x:c>
      <x:c r="L306" s="26" t="n">
        <x:v>1</x:v>
      </x:c>
      <x:c r="M306" s="14" t="str">
        <x:f>IF(AND(K306=1,L306=1),"both_correct",IF(K306=1,"vanilla_only",IF(L306=1,"candidate_only","both_wrong")))</x:f>
        <x:v>both_correct</x:v>
      </x:c>
      <x:c r="N306" s="26" t="n">
        <x:v>0</x:v>
      </x:c>
      <x:c r="O306" s="26" t="n">
        <x:v>0</x:v>
      </x:c>
    </x:row>
    <x:row r="307" ht="21" customHeight="1">
      <x:c r="A307" s="14" t="str">
        <x:v>NetQAD E2E 单步规划</x:v>
      </x:c>
      <x:c r="B307" s="14" t="str">
        <x:v>TC00000075</x:v>
      </x:c>
      <x:c r="C307" s="17" t="n">
        <x:v>54.8511</x:v>
      </x:c>
      <x:c r="D307" s="17" t="n">
        <x:v>53.8439</x:v>
      </x:c>
      <x:c r="E307" s="17" t="n">
        <x:f>C307-D307</x:f>
        <x:v>1.0072000000000045</x:v>
      </x:c>
      <x:c r="F307" s="20" t="n">
        <x:f>IFERROR(E307/C307,0)</x:f>
        <x:v>0.01836243940413236</x:v>
      </x:c>
      <x:c r="G307" s="23" t="n">
        <x:v>882</x:v>
      </x:c>
      <x:c r="H307" s="23" t="n">
        <x:v>100</x:v>
      </x:c>
      <x:c r="I307" s="23"/>
      <x:c r="J307" s="20"/>
      <x:c r="K307" s="26" t="n">
        <x:v>1</x:v>
      </x:c>
      <x:c r="L307" s="26" t="n">
        <x:v>1</x:v>
      </x:c>
      <x:c r="M307" s="14" t="str">
        <x:f>IF(AND(K307=1,L307=1),"both_correct",IF(K307=1,"vanilla_only",IF(L307=1,"candidate_only","both_wrong")))</x:f>
        <x:v>both_correct</x:v>
      </x:c>
      <x:c r="N307" s="26" t="n">
        <x:v>0</x:v>
      </x:c>
      <x:c r="O307" s="26" t="n">
        <x:v>0</x:v>
      </x:c>
    </x:row>
    <x:row r="308" ht="21" customHeight="1">
      <x:c r="A308" s="14" t="str">
        <x:v>NetQAD E2E 单步规划</x:v>
      </x:c>
      <x:c r="B308" s="14" t="str">
        <x:v>TC00000076</x:v>
      </x:c>
      <x:c r="C308" s="17" t="n">
        <x:v>65.9401</x:v>
      </x:c>
      <x:c r="D308" s="17" t="n">
        <x:v>57.4752</x:v>
      </x:c>
      <x:c r="E308" s="17" t="n">
        <x:f>C308-D308</x:f>
        <x:v>8.4649</x:v>
      </x:c>
      <x:c r="F308" s="20" t="n">
        <x:f>IFERROR(E308/C308,0)</x:f>
        <x:v>0.12837256843711187</x:v>
      </x:c>
      <x:c r="G308" s="23" t="n">
        <x:v>1097</x:v>
      </x:c>
      <x:c r="H308" s="23" t="n">
        <x:v>97</x:v>
      </x:c>
      <x:c r="I308" s="23"/>
      <x:c r="J308" s="20"/>
      <x:c r="K308" s="26" t="n">
        <x:v>1</x:v>
      </x:c>
      <x:c r="L308" s="26" t="n">
        <x:v>1</x:v>
      </x:c>
      <x:c r="M308" s="14" t="str">
        <x:f>IF(AND(K308=1,L308=1),"both_correct",IF(K308=1,"vanilla_only",IF(L308=1,"candidate_only","both_wrong")))</x:f>
        <x:v>both_correct</x:v>
      </x:c>
      <x:c r="N308" s="26" t="n">
        <x:v>0</x:v>
      </x:c>
      <x:c r="O308" s="26" t="n">
        <x:v>0</x:v>
      </x:c>
    </x:row>
    <x:row r="309" ht="21" customHeight="1">
      <x:c r="A309" s="14" t="str">
        <x:v>NetQAD E2E 单步规划</x:v>
      </x:c>
      <x:c r="B309" s="14" t="str">
        <x:v>TC00000077</x:v>
      </x:c>
      <x:c r="C309" s="17" t="n">
        <x:v>56.4025</x:v>
      </x:c>
      <x:c r="D309" s="17" t="n">
        <x:v>53.4292</x:v>
      </x:c>
      <x:c r="E309" s="17" t="n">
        <x:f>C309-D309</x:f>
        <x:v>2.973300000000002</x:v>
      </x:c>
      <x:c r="F309" s="20" t="n">
        <x:f>IFERROR(E309/C309,0)</x:f>
        <x:v>0.052715748415407146</x:v>
      </x:c>
      <x:c r="G309" s="23" t="n">
        <x:v>901</x:v>
      </x:c>
      <x:c r="H309" s="23" t="n">
        <x:v>100</x:v>
      </x:c>
      <x:c r="I309" s="23"/>
      <x:c r="J309" s="20"/>
      <x:c r="K309" s="26" t="n">
        <x:v>1</x:v>
      </x:c>
      <x:c r="L309" s="26" t="n">
        <x:v>1</x:v>
      </x:c>
      <x:c r="M309" s="14" t="str">
        <x:f>IF(AND(K309=1,L309=1),"both_correct",IF(K309=1,"vanilla_only",IF(L309=1,"candidate_only","both_wrong")))</x:f>
        <x:v>both_correct</x:v>
      </x:c>
      <x:c r="N309" s="26" t="n">
        <x:v>0</x:v>
      </x:c>
      <x:c r="O309" s="26" t="n">
        <x:v>0</x:v>
      </x:c>
    </x:row>
    <x:row r="310" ht="21" customHeight="1">
      <x:c r="A310" s="14" t="str">
        <x:v>NetQAD E2E 单步规划</x:v>
      </x:c>
      <x:c r="B310" s="14" t="str">
        <x:v>TC00000078</x:v>
      </x:c>
      <x:c r="C310" s="17" t="n">
        <x:v>57.7997</x:v>
      </x:c>
      <x:c r="D310" s="17" t="n">
        <x:v>54.8864</x:v>
      </x:c>
      <x:c r="E310" s="17" t="n">
        <x:f>C310-D310</x:f>
        <x:v>2.9132999999999996</x:v>
      </x:c>
      <x:c r="F310" s="20" t="n">
        <x:f>IFERROR(E310/C310,0)</x:f>
        <x:v>0.050403375796068135</x:v>
      </x:c>
      <x:c r="G310" s="23" t="n">
        <x:v>1076</x:v>
      </x:c>
      <x:c r="H310" s="23" t="n">
        <x:v>126</x:v>
      </x:c>
      <x:c r="I310" s="23"/>
      <x:c r="J310" s="20"/>
      <x:c r="K310" s="26" t="n">
        <x:v>1</x:v>
      </x:c>
      <x:c r="L310" s="26" t="n">
        <x:v>1</x:v>
      </x:c>
      <x:c r="M310" s="14" t="str">
        <x:f>IF(AND(K310=1,L310=1),"both_correct",IF(K310=1,"vanilla_only",IF(L310=1,"candidate_only","both_wrong")))</x:f>
        <x:v>both_correct</x:v>
      </x:c>
      <x:c r="N310" s="26" t="n">
        <x:v>0</x:v>
      </x:c>
      <x:c r="O310" s="26" t="n">
        <x:v>0</x:v>
      </x:c>
    </x:row>
    <x:row r="311" ht="21" customHeight="1">
      <x:c r="A311" s="14" t="str">
        <x:v>NetQAD E2E 单步规划</x:v>
      </x:c>
      <x:c r="B311" s="14" t="str">
        <x:v>TC00000079</x:v>
      </x:c>
      <x:c r="C311" s="17" t="n">
        <x:v>52.3573</x:v>
      </x:c>
      <x:c r="D311" s="17" t="n">
        <x:v>21.0718</x:v>
      </x:c>
      <x:c r="E311" s="17" t="n">
        <x:f>C311-D311</x:f>
        <x:v>31.285500000000003</x:v>
      </x:c>
      <x:c r="F311" s="20" t="n">
        <x:f>IFERROR(E311/C311,0)</x:f>
        <x:v>0.5975384521356143</x:v>
      </x:c>
      <x:c r="G311" s="23" t="n">
        <x:v>919</x:v>
      </x:c>
      <x:c r="H311" s="23" t="n">
        <x:v>105</x:v>
      </x:c>
      <x:c r="I311" s="23"/>
      <x:c r="J311" s="20"/>
      <x:c r="K311" s="26" t="n">
        <x:v>1</x:v>
      </x:c>
      <x:c r="L311" s="26" t="n">
        <x:v>1</x:v>
      </x:c>
      <x:c r="M311" s="14" t="str">
        <x:f>IF(AND(K311=1,L311=1),"both_correct",IF(K311=1,"vanilla_only",IF(L311=1,"candidate_only","both_wrong")))</x:f>
        <x:v>both_correct</x:v>
      </x:c>
      <x:c r="N311" s="26" t="n">
        <x:v>0</x:v>
      </x:c>
      <x:c r="O311" s="26" t="n">
        <x:v>0</x:v>
      </x:c>
    </x:row>
    <x:row r="312" ht="21" customHeight="1">
      <x:c r="A312" s="14" t="str">
        <x:v>NetQAD E2E 单步规划</x:v>
      </x:c>
      <x:c r="B312" s="14" t="str">
        <x:v>TC00000080</x:v>
      </x:c>
      <x:c r="C312" s="17" t="n">
        <x:v>33.1282</x:v>
      </x:c>
      <x:c r="D312" s="17" t="n">
        <x:v>13.4396</x:v>
      </x:c>
      <x:c r="E312" s="17" t="n">
        <x:f>C312-D312</x:f>
        <x:v>19.6886</x:v>
      </x:c>
      <x:c r="F312" s="20" t="n">
        <x:f>IFERROR(E312/C312,0)</x:f>
        <x:v>0.59431541707669</x:v>
      </x:c>
      <x:c r="G312" s="23" t="n">
        <x:v>1083</x:v>
      </x:c>
      <x:c r="H312" s="23" t="n">
        <x:v>104</x:v>
      </x:c>
      <x:c r="I312" s="23"/>
      <x:c r="J312" s="20"/>
      <x:c r="K312" s="26" t="n">
        <x:v>1</x:v>
      </x:c>
      <x:c r="L312" s="26" t="n">
        <x:v>1</x:v>
      </x:c>
      <x:c r="M312" s="14" t="str">
        <x:f>IF(AND(K312=1,L312=1),"both_correct",IF(K312=1,"vanilla_only",IF(L312=1,"candidate_only","both_wrong")))</x:f>
        <x:v>both_correct</x:v>
      </x:c>
      <x:c r="N312" s="26" t="n">
        <x:v>0</x:v>
      </x:c>
      <x:c r="O312" s="26" t="n">
        <x:v>0</x:v>
      </x:c>
    </x:row>
    <x:row r="313" ht="21" customHeight="1">
      <x:c r="A313" s="14" t="str">
        <x:v>ReAct 白盒整体规划</x:v>
      </x:c>
      <x:c r="B313" s="14" t="str">
        <x:v>TC0000000201</x:v>
      </x:c>
      <x:c r="C313" s="17" t="n">
        <x:v>86.7544</x:v>
      </x:c>
      <x:c r="D313" s="17" t="n">
        <x:v>106.9586</x:v>
      </x:c>
      <x:c r="E313" s="17" t="n">
        <x:f>C313-D313</x:f>
        <x:v>-20.2042</x:v>
      </x:c>
      <x:c r="F313" s="20" t="n">
        <x:f>IFERROR(E313/C313,0)</x:f>
        <x:v>-0.23288962865284066</x:v>
      </x:c>
      <x:c r="G313" s="23" t="n">
        <x:v>1334</x:v>
      </x:c>
      <x:c r="H313" s="23" t="n">
        <x:v>238</x:v>
      </x:c>
      <x:c r="I313" s="23"/>
      <x:c r="J313" s="20"/>
      <x:c r="K313" s="26" t="n">
        <x:v>1</x:v>
      </x:c>
      <x:c r="L313" s="26" t="n">
        <x:v>1</x:v>
      </x:c>
      <x:c r="M313" s="14" t="str">
        <x:f>IF(AND(K313=1,L313=1),"both_correct",IF(K313=1,"vanilla_only",IF(L313=1,"candidate_only","both_wrong")))</x:f>
        <x:v>both_correct</x:v>
      </x:c>
      <x:c r="N313" s="26" t="n">
        <x:v>0</x:v>
      </x:c>
      <x:c r="O313" s="26" t="n">
        <x:v>0</x:v>
      </x:c>
    </x:row>
    <x:row r="314" ht="21" customHeight="1">
      <x:c r="A314" s="14" t="str">
        <x:v>ReAct 白盒整体规划</x:v>
      </x:c>
      <x:c r="B314" s="14" t="str">
        <x:v>TC0000000202</x:v>
      </x:c>
      <x:c r="C314" s="17" t="n">
        <x:v>100.5494</x:v>
      </x:c>
      <x:c r="D314" s="17" t="n">
        <x:v>115.7874</x:v>
      </x:c>
      <x:c r="E314" s="17" t="n">
        <x:f>C314-D314</x:f>
        <x:v>-15.238</x:v>
      </x:c>
      <x:c r="F314" s="20" t="n">
        <x:f>IFERROR(E314/C314,0)</x:f>
        <x:v>-0.15154739859213479</x:v>
      </x:c>
      <x:c r="G314" s="23" t="n">
        <x:v>1624</x:v>
      </x:c>
      <x:c r="H314" s="23" t="n">
        <x:v>322</x:v>
      </x:c>
      <x:c r="I314" s="23"/>
      <x:c r="J314" s="20"/>
      <x:c r="K314" s="26" t="n">
        <x:v>1</x:v>
      </x:c>
      <x:c r="L314" s="26" t="n">
        <x:v>0</x:v>
      </x:c>
      <x:c r="M314" s="14" t="str">
        <x:f>IF(AND(K314=1,L314=1),"both_correct",IF(K314=1,"vanilla_only",IF(L314=1,"candidate_only","both_wrong")))</x:f>
        <x:v>vanilla_only</x:v>
      </x:c>
      <x:c r="N314" s="26" t="n">
        <x:v>0</x:v>
      </x:c>
      <x:c r="O314" s="26" t="n">
        <x:v>0</x:v>
      </x:c>
    </x:row>
    <x:row r="315" ht="21" customHeight="1">
      <x:c r="A315" s="14" t="str">
        <x:v>ReAct 白盒整体规划</x:v>
      </x:c>
      <x:c r="B315" s="14" t="str">
        <x:v>TC0000000203</x:v>
      </x:c>
      <x:c r="C315" s="17" t="n">
        <x:v>79.8458</x:v>
      </x:c>
      <x:c r="D315" s="17" t="n">
        <x:v>85.3227</x:v>
      </x:c>
      <x:c r="E315" s="17" t="n">
        <x:f>C315-D315</x:f>
        <x:v>-5.4769000000000005</x:v>
      </x:c>
      <x:c r="F315" s="20" t="n">
        <x:f>IFERROR(E315/C315,0)</x:f>
        <x:v>-0.06859346390167048</x:v>
      </x:c>
      <x:c r="G315" s="23" t="n">
        <x:v>1269</x:v>
      </x:c>
      <x:c r="H315" s="23" t="n">
        <x:v>229</x:v>
      </x:c>
      <x:c r="I315" s="23"/>
      <x:c r="J315" s="20"/>
      <x:c r="K315" s="26" t="n">
        <x:v>1</x:v>
      </x:c>
      <x:c r="L315" s="26" t="n">
        <x:v>0</x:v>
      </x:c>
      <x:c r="M315" s="14" t="str">
        <x:f>IF(AND(K315=1,L315=1),"both_correct",IF(K315=1,"vanilla_only",IF(L315=1,"candidate_only","both_wrong")))</x:f>
        <x:v>vanilla_only</x:v>
      </x:c>
      <x:c r="N315" s="26" t="n">
        <x:v>0</x:v>
      </x:c>
      <x:c r="O315" s="26" t="n">
        <x:v>0</x:v>
      </x:c>
    </x:row>
    <x:row r="316" ht="21" customHeight="1">
      <x:c r="A316" s="14" t="str">
        <x:v>ReAct 白盒整体规划</x:v>
      </x:c>
      <x:c r="B316" s="14" t="str">
        <x:v>TC0000000204</x:v>
      </x:c>
      <x:c r="C316" s="17" t="n">
        <x:v>82.6191</x:v>
      </x:c>
      <x:c r="D316" s="17" t="n">
        <x:v>92.8375</x:v>
      </x:c>
      <x:c r="E316" s="17" t="n">
        <x:f>C316-D316</x:f>
        <x:v>-10.218400000000003</x:v>
      </x:c>
      <x:c r="F316" s="20" t="n">
        <x:f>IFERROR(E316/C316,0)</x:f>
        <x:v>-0.12368084377583394</x:v>
      </x:c>
      <x:c r="G316" s="23" t="n">
        <x:v>1313</x:v>
      </x:c>
      <x:c r="H316" s="23" t="n">
        <x:v>236</x:v>
      </x:c>
      <x:c r="I316" s="23"/>
      <x:c r="J316" s="20"/>
      <x:c r="K316" s="26" t="n">
        <x:v>0</x:v>
      </x:c>
      <x:c r="L316" s="26" t="n">
        <x:v>0</x:v>
      </x:c>
      <x:c r="M316" s="14" t="str">
        <x:f>IF(AND(K316=1,L316=1),"both_correct",IF(K316=1,"vanilla_only",IF(L316=1,"candidate_only","both_wrong")))</x:f>
        <x:v>both_wrong</x:v>
      </x:c>
      <x:c r="N316" s="26" t="n">
        <x:v>0</x:v>
      </x:c>
      <x:c r="O316" s="26" t="n">
        <x:v>0</x:v>
      </x:c>
    </x:row>
    <x:row r="317" ht="21" customHeight="1">
      <x:c r="A317" s="14" t="str">
        <x:v>ReAct 白盒整体规划</x:v>
      </x:c>
      <x:c r="B317" s="14" t="str">
        <x:v>TC0000000205</x:v>
      </x:c>
      <x:c r="C317" s="17" t="n">
        <x:v>123.451</x:v>
      </x:c>
      <x:c r="D317" s="17" t="n">
        <x:v>75.3461</x:v>
      </x:c>
      <x:c r="E317" s="17" t="n">
        <x:f>C317-D317</x:f>
        <x:v>48.10489999999999</x:v>
      </x:c>
      <x:c r="F317" s="20" t="n">
        <x:f>IFERROR(E317/C317,0)</x:f>
        <x:v>0.3896679654275785</x:v>
      </x:c>
      <x:c r="G317" s="23" t="n">
        <x:v>2037</x:v>
      </x:c>
      <x:c r="H317" s="23" t="n">
        <x:v>216</x:v>
      </x:c>
      <x:c r="I317" s="23"/>
      <x:c r="J317" s="20"/>
      <x:c r="K317" s="26" t="n">
        <x:v>1</x:v>
      </x:c>
      <x:c r="L317" s="26" t="n">
        <x:v>1</x:v>
      </x:c>
      <x:c r="M317" s="14" t="str">
        <x:f>IF(AND(K317=1,L317=1),"both_correct",IF(K317=1,"vanilla_only",IF(L317=1,"candidate_only","both_wrong")))</x:f>
        <x:v>both_correct</x:v>
      </x:c>
      <x:c r="N317" s="26" t="n">
        <x:v>0</x:v>
      </x:c>
      <x:c r="O317" s="26" t="n">
        <x:v>0</x:v>
      </x:c>
    </x:row>
    <x:row r="318" ht="21" customHeight="1">
      <x:c r="A318" s="14" t="str">
        <x:v>ReAct 白盒整体规划</x:v>
      </x:c>
      <x:c r="B318" s="14" t="str">
        <x:v>TC0000000206</x:v>
      </x:c>
      <x:c r="C318" s="17" t="n">
        <x:v>90.0129</x:v>
      </x:c>
      <x:c r="D318" s="17" t="n">
        <x:v>103.496</x:v>
      </x:c>
      <x:c r="E318" s="17" t="n">
        <x:f>C318-D318</x:f>
        <x:v>-13.483099999999993</x:v>
      </x:c>
      <x:c r="F318" s="20" t="n">
        <x:f>IFERROR(E318/C318,0)</x:f>
        <x:v>-0.14979075221440474</x:v>
      </x:c>
      <x:c r="G318" s="23" t="n">
        <x:v>1475</x:v>
      </x:c>
      <x:c r="H318" s="23" t="n">
        <x:v>349</x:v>
      </x:c>
      <x:c r="I318" s="23"/>
      <x:c r="J318" s="20"/>
      <x:c r="K318" s="26" t="n">
        <x:v>1</x:v>
      </x:c>
      <x:c r="L318" s="26" t="n">
        <x:v>1</x:v>
      </x:c>
      <x:c r="M318" s="14" t="str">
        <x:f>IF(AND(K318=1,L318=1),"both_correct",IF(K318=1,"vanilla_only",IF(L318=1,"candidate_only","both_wrong")))</x:f>
        <x:v>both_correct</x:v>
      </x:c>
      <x:c r="N318" s="26" t="n">
        <x:v>0</x:v>
      </x:c>
      <x:c r="O318" s="26" t="n">
        <x:v>0</x:v>
      </x:c>
    </x:row>
    <x:row r="319" ht="21" customHeight="1">
      <x:c r="A319" s="14" t="str">
        <x:v>ReAct 白盒整体规划</x:v>
      </x:c>
      <x:c r="B319" s="14" t="str">
        <x:v>TC0000000207</x:v>
      </x:c>
      <x:c r="C319" s="17" t="n">
        <x:v>99.209</x:v>
      </x:c>
      <x:c r="D319" s="17" t="n">
        <x:v>105.4796</x:v>
      </x:c>
      <x:c r="E319" s="17" t="n">
        <x:f>C319-D319</x:f>
        <x:v>-6.270600000000002</x:v>
      </x:c>
      <x:c r="F319" s="20" t="n">
        <x:f>IFERROR(E319/C319,0)</x:f>
        <x:v>-0.06320595913677188</x:v>
      </x:c>
      <x:c r="G319" s="23" t="n">
        <x:v>1686</x:v>
      </x:c>
      <x:c r="H319" s="23" t="n">
        <x:v>290</x:v>
      </x:c>
      <x:c r="I319" s="23"/>
      <x:c r="J319" s="20"/>
      <x:c r="K319" s="26" t="n">
        <x:v>1</x:v>
      </x:c>
      <x:c r="L319" s="26" t="n">
        <x:v>1</x:v>
      </x:c>
      <x:c r="M319" s="14" t="str">
        <x:f>IF(AND(K319=1,L319=1),"both_correct",IF(K319=1,"vanilla_only",IF(L319=1,"candidate_only","both_wrong")))</x:f>
        <x:v>both_correct</x:v>
      </x:c>
      <x:c r="N319" s="26" t="n">
        <x:v>0</x:v>
      </x:c>
      <x:c r="O319" s="26" t="n">
        <x:v>0</x:v>
      </x:c>
    </x:row>
    <x:row r="320" ht="21" customHeight="1">
      <x:c r="A320" s="14" t="str">
        <x:v>ReAct 白盒整体规划</x:v>
      </x:c>
      <x:c r="B320" s="14" t="str">
        <x:v>TC0000000208</x:v>
      </x:c>
      <x:c r="C320" s="17" t="n">
        <x:v>115.011</x:v>
      </x:c>
      <x:c r="D320" s="17" t="n">
        <x:v>132.9854</x:v>
      </x:c>
      <x:c r="E320" s="17" t="n">
        <x:f>C320-D320</x:f>
        <x:v>-17.974400000000003</x:v>
      </x:c>
      <x:c r="F320" s="20" t="n">
        <x:f>IFERROR(E320/C320,0)</x:f>
        <x:v>-0.1562841815130727</x:v>
      </x:c>
      <x:c r="G320" s="23" t="n">
        <x:v>1669</x:v>
      </x:c>
      <x:c r="H320" s="23" t="n">
        <x:v>324</x:v>
      </x:c>
      <x:c r="I320" s="23"/>
      <x:c r="J320" s="20"/>
      <x:c r="K320" s="26" t="n">
        <x:v>1</x:v>
      </x:c>
      <x:c r="L320" s="26" t="n">
        <x:v>0</x:v>
      </x:c>
      <x:c r="M320" s="14" t="str">
        <x:f>IF(AND(K320=1,L320=1),"both_correct",IF(K320=1,"vanilla_only",IF(L320=1,"candidate_only","both_wrong")))</x:f>
        <x:v>vanilla_only</x:v>
      </x:c>
      <x:c r="N320" s="26" t="n">
        <x:v>0</x:v>
      </x:c>
      <x:c r="O320" s="26" t="n">
        <x:v>0</x:v>
      </x:c>
    </x:row>
    <x:row r="321" ht="21" customHeight="1">
      <x:c r="A321" s="14" t="str">
        <x:v>ReAct 白盒整体规划</x:v>
      </x:c>
      <x:c r="B321" s="14" t="str">
        <x:v>TC0000000209</x:v>
      </x:c>
      <x:c r="C321" s="17" t="n">
        <x:v>138.1486</x:v>
      </x:c>
      <x:c r="D321" s="17" t="n">
        <x:v>85.7408</x:v>
      </x:c>
      <x:c r="E321" s="17" t="n">
        <x:f>C321-D321</x:f>
        <x:v>52.407799999999995</x:v>
      </x:c>
      <x:c r="F321" s="20" t="n">
        <x:f>IFERROR(E321/C321,0)</x:f>
        <x:v>0.3793581693915103</x:v>
      </x:c>
      <x:c r="G321" s="23" t="n">
        <x:v>2182</x:v>
      </x:c>
      <x:c r="H321" s="23" t="n">
        <x:v>133</x:v>
      </x:c>
      <x:c r="I321" s="23"/>
      <x:c r="J321" s="20"/>
      <x:c r="K321" s="26" t="n">
        <x:v>0</x:v>
      </x:c>
      <x:c r="L321" s="26" t="n">
        <x:v>1</x:v>
      </x:c>
      <x:c r="M321" s="14" t="str">
        <x:f>IF(AND(K321=1,L321=1),"both_correct",IF(K321=1,"vanilla_only",IF(L321=1,"candidate_only","both_wrong")))</x:f>
        <x:v>candidate_only</x:v>
      </x:c>
      <x:c r="N321" s="26" t="n">
        <x:v>0</x:v>
      </x:c>
      <x:c r="O321" s="26" t="n">
        <x:v>0</x:v>
      </x:c>
    </x:row>
    <x:row r="322" ht="21" customHeight="1">
      <x:c r="A322" s="14" t="str">
        <x:v>ReAct 白盒整体规划</x:v>
      </x:c>
      <x:c r="B322" s="14" t="str">
        <x:v>TC0000000210</x:v>
      </x:c>
      <x:c r="C322" s="17" t="n">
        <x:v>95.4798</x:v>
      </x:c>
      <x:c r="D322" s="17" t="n">
        <x:v>85.5389</x:v>
      </x:c>
      <x:c r="E322" s="17" t="n">
        <x:f>C322-D322</x:f>
        <x:v>9.9409</x:v>
      </x:c>
      <x:c r="F322" s="20" t="n">
        <x:f>IFERROR(E322/C322,0)</x:f>
        <x:v>0.10411521599333053</x:v>
      </x:c>
      <x:c r="G322" s="23" t="n">
        <x:v>1456</x:v>
      </x:c>
      <x:c r="H322" s="23" t="n">
        <x:v>140</x:v>
      </x:c>
      <x:c r="I322" s="23"/>
      <x:c r="J322" s="20"/>
      <x:c r="K322" s="26" t="n">
        <x:v>1</x:v>
      </x:c>
      <x:c r="L322" s="26" t="n">
        <x:v>1</x:v>
      </x:c>
      <x:c r="M322" s="14" t="str">
        <x:f>IF(AND(K322=1,L322=1),"both_correct",IF(K322=1,"vanilla_only",IF(L322=1,"candidate_only","both_wrong")))</x:f>
        <x:v>both_correct</x:v>
      </x:c>
      <x:c r="N322" s="26" t="n">
        <x:v>0</x:v>
      </x:c>
      <x:c r="O322" s="26" t="n">
        <x:v>0</x:v>
      </x:c>
    </x:row>
    <x:row r="323" ht="21" customHeight="1">
      <x:c r="A323" s="14" t="str">
        <x:v>ReAct 白盒整体规划</x:v>
      </x:c>
      <x:c r="B323" s="14" t="str">
        <x:v>TC0000000211</x:v>
      </x:c>
      <x:c r="C323" s="17" t="n">
        <x:v>78.5954</x:v>
      </x:c>
      <x:c r="D323" s="17" t="n">
        <x:v>71.7025</x:v>
      </x:c>
      <x:c r="E323" s="17" t="n">
        <x:f>C323-D323</x:f>
        <x:v>6.892899999999997</x:v>
      </x:c>
      <x:c r="F323" s="20" t="n">
        <x:f>IFERROR(E323/C323,0)</x:f>
        <x:v>0.08770106138527188</x:v>
      </x:c>
      <x:c r="G323" s="23" t="n">
        <x:v>1282</x:v>
      </x:c>
      <x:c r="H323" s="23" t="n">
        <x:v>113</x:v>
      </x:c>
      <x:c r="I323" s="23"/>
      <x:c r="J323" s="20"/>
      <x:c r="K323" s="26" t="n">
        <x:v>1</x:v>
      </x:c>
      <x:c r="L323" s="26" t="n">
        <x:v>1</x:v>
      </x:c>
      <x:c r="M323" s="14" t="str">
        <x:f>IF(AND(K323=1,L323=1),"both_correct",IF(K323=1,"vanilla_only",IF(L323=1,"candidate_only","both_wrong")))</x:f>
        <x:v>both_correct</x:v>
      </x:c>
      <x:c r="N323" s="26" t="n">
        <x:v>0</x:v>
      </x:c>
      <x:c r="O323" s="26" t="n">
        <x:v>0</x:v>
      </x:c>
    </x:row>
    <x:row r="324" ht="21" customHeight="1">
      <x:c r="A324" s="14" t="str">
        <x:v>ReAct 白盒整体规划</x:v>
      </x:c>
      <x:c r="B324" s="14" t="str">
        <x:v>TC0000000212</x:v>
      </x:c>
      <x:c r="C324" s="17" t="n">
        <x:v>116.162</x:v>
      </x:c>
      <x:c r="D324" s="17" t="n">
        <x:v>155.7335</x:v>
      </x:c>
      <x:c r="E324" s="17" t="n">
        <x:f>C324-D324</x:f>
        <x:v>-39.571499999999986</x:v>
      </x:c>
      <x:c r="F324" s="20" t="n">
        <x:f>IFERROR(E324/C324,0)</x:f>
        <x:v>-0.3406578743478933</x:v>
      </x:c>
      <x:c r="G324" s="23" t="n">
        <x:v>1743</x:v>
      </x:c>
      <x:c r="H324" s="23" t="n">
        <x:v>142</x:v>
      </x:c>
      <x:c r="I324" s="23"/>
      <x:c r="J324" s="20"/>
      <x:c r="K324" s="26" t="n">
        <x:v>0</x:v>
      </x:c>
      <x:c r="L324" s="26" t="n">
        <x:v>0</x:v>
      </x:c>
      <x:c r="M324" s="14" t="str">
        <x:f>IF(AND(K324=1,L324=1),"both_correct",IF(K324=1,"vanilla_only",IF(L324=1,"candidate_only","both_wrong")))</x:f>
        <x:v>both_wrong</x:v>
      </x:c>
      <x:c r="N324" s="26" t="n">
        <x:v>0</x:v>
      </x:c>
      <x:c r="O324" s="26" t="n">
        <x:v>0</x:v>
      </x:c>
    </x:row>
    <x:row r="325" ht="21" customHeight="1">
      <x:c r="A325" s="14" t="str">
        <x:v>ReAct 白盒整体规划</x:v>
      </x:c>
      <x:c r="B325" s="14" t="str">
        <x:v>TC0000000213</x:v>
      </x:c>
      <x:c r="C325" s="17" t="n">
        <x:v>104.3336</x:v>
      </x:c>
      <x:c r="D325" s="17" t="n">
        <x:v>108.974</x:v>
      </x:c>
      <x:c r="E325" s="17" t="n">
        <x:f>C325-D325</x:f>
        <x:v>-4.6404</x:v>
      </x:c>
      <x:c r="F325" s="20" t="n">
        <x:f>IFERROR(E325/C325,0)</x:f>
        <x:v>-0.044476563638176</x:v>
      </x:c>
      <x:c r="G325" s="23" t="n">
        <x:v>1633</x:v>
      </x:c>
      <x:c r="H325" s="23" t="n">
        <x:v>206</x:v>
      </x:c>
      <x:c r="I325" s="23"/>
      <x:c r="J325" s="20"/>
      <x:c r="K325" s="26" t="n">
        <x:v>1</x:v>
      </x:c>
      <x:c r="L325" s="26" t="n">
        <x:v>1</x:v>
      </x:c>
      <x:c r="M325" s="14" t="str">
        <x:f>IF(AND(K325=1,L325=1),"both_correct",IF(K325=1,"vanilla_only",IF(L325=1,"candidate_only","both_wrong")))</x:f>
        <x:v>both_correct</x:v>
      </x:c>
      <x:c r="N325" s="26" t="n">
        <x:v>0</x:v>
      </x:c>
      <x:c r="O325" s="26" t="n">
        <x:v>0</x:v>
      </x:c>
    </x:row>
    <x:row r="326" ht="21" customHeight="1">
      <x:c r="A326" s="14" t="str">
        <x:v>ReAct 白盒整体规划</x:v>
      </x:c>
      <x:c r="B326" s="14" t="str">
        <x:v>TC0000000214</x:v>
      </x:c>
      <x:c r="C326" s="17" t="n">
        <x:v>134.2754</x:v>
      </x:c>
      <x:c r="D326" s="17" t="n">
        <x:v>121.3486</x:v>
      </x:c>
      <x:c r="E326" s="17" t="n">
        <x:f>C326-D326</x:f>
        <x:v>12.926799999999986</x:v>
      </x:c>
      <x:c r="F326" s="20" t="n">
        <x:f>IFERROR(E326/C326,0)</x:f>
        <x:v>0.096270798671983</x:v>
      </x:c>
      <x:c r="G326" s="23" t="n">
        <x:v>2423</x:v>
      </x:c>
      <x:c r="H326" s="23" t="n">
        <x:v>345</x:v>
      </x:c>
      <x:c r="I326" s="23"/>
      <x:c r="J326" s="20"/>
      <x:c r="K326" s="26" t="n">
        <x:v>1</x:v>
      </x:c>
      <x:c r="L326" s="26" t="n">
        <x:v>1</x:v>
      </x:c>
      <x:c r="M326" s="14" t="str">
        <x:f>IF(AND(K326=1,L326=1),"both_correct",IF(K326=1,"vanilla_only",IF(L326=1,"candidate_only","both_wrong")))</x:f>
        <x:v>both_correct</x:v>
      </x:c>
      <x:c r="N326" s="26" t="n">
        <x:v>0</x:v>
      </x:c>
      <x:c r="O326" s="26" t="n">
        <x:v>0</x:v>
      </x:c>
    </x:row>
    <x:row r="327" ht="21" customHeight="1">
      <x:c r="A327" s="14" t="str">
        <x:v>ReAct 白盒整体规划</x:v>
      </x:c>
      <x:c r="B327" s="14" t="str">
        <x:v>TC0000000215</x:v>
      </x:c>
      <x:c r="C327" s="17" t="n">
        <x:v>102.118</x:v>
      </x:c>
      <x:c r="D327" s="17" t="n">
        <x:v>82.2303</x:v>
      </x:c>
      <x:c r="E327" s="17" t="n">
        <x:f>C327-D327</x:f>
        <x:v>19.887699999999995</x:v>
      </x:c>
      <x:c r="F327" s="20" t="n">
        <x:f>IFERROR(E327/C327,0)</x:f>
        <x:v>0.19475214947413771</x:v>
      </x:c>
      <x:c r="G327" s="23" t="n">
        <x:v>1557</x:v>
      </x:c>
      <x:c r="H327" s="23" t="n">
        <x:v>198</x:v>
      </x:c>
      <x:c r="I327" s="23"/>
      <x:c r="J327" s="20"/>
      <x:c r="K327" s="26" t="n">
        <x:v>1</x:v>
      </x:c>
      <x:c r="L327" s="26" t="n">
        <x:v>1</x:v>
      </x:c>
      <x:c r="M327" s="14" t="str">
        <x:f>IF(AND(K327=1,L327=1),"both_correct",IF(K327=1,"vanilla_only",IF(L327=1,"candidate_only","both_wrong")))</x:f>
        <x:v>both_correct</x:v>
      </x:c>
      <x:c r="N327" s="26" t="n">
        <x:v>0</x:v>
      </x:c>
      <x:c r="O327" s="26" t="n">
        <x:v>0</x:v>
      </x:c>
    </x:row>
    <x:row r="328" ht="21" customHeight="1">
      <x:c r="A328" s="14" t="str">
        <x:v>ReAct 白盒整体规划</x:v>
      </x:c>
      <x:c r="B328" s="14" t="str">
        <x:v>TC0000000216</x:v>
      </x:c>
      <x:c r="C328" s="17" t="n">
        <x:v>89.795</x:v>
      </x:c>
      <x:c r="D328" s="17" t="n">
        <x:v>52.4944</x:v>
      </x:c>
      <x:c r="E328" s="17" t="n">
        <x:f>C328-D328</x:f>
        <x:v>37.3006</x:v>
      </x:c>
      <x:c r="F328" s="20" t="n">
        <x:f>IFERROR(E328/C328,0)</x:f>
        <x:v>0.4153972938359597</x:v>
      </x:c>
      <x:c r="G328" s="23" t="n">
        <x:v>1999</x:v>
      </x:c>
      <x:c r="H328" s="23" t="n">
        <x:v>217</x:v>
      </x:c>
      <x:c r="I328" s="23"/>
      <x:c r="J328" s="20"/>
      <x:c r="K328" s="26" t="n">
        <x:v>0</x:v>
      </x:c>
      <x:c r="L328" s="26" t="n">
        <x:v>1</x:v>
      </x:c>
      <x:c r="M328" s="14" t="str">
        <x:f>IF(AND(K328=1,L328=1),"both_correct",IF(K328=1,"vanilla_only",IF(L328=1,"candidate_only","both_wrong")))</x:f>
        <x:v>candidate_only</x:v>
      </x:c>
      <x:c r="N328" s="26" t="n">
        <x:v>0</x:v>
      </x:c>
      <x:c r="O328" s="26" t="n">
        <x:v>0</x:v>
      </x:c>
    </x:row>
    <x:row r="329" ht="21" customHeight="1">
      <x:c r="A329" s="14" t="str">
        <x:v>投诉助理工具调用</x:v>
      </x:c>
      <x:c r="B329" s="14" t="str">
        <x:v>Complaint_Specialist_001</x:v>
      </x:c>
      <x:c r="C329" s="17" t="n">
        <x:v>61.1343</x:v>
      </x:c>
      <x:c r="D329" s="17" t="n">
        <x:v>67.2874</x:v>
      </x:c>
      <x:c r="E329" s="17" t="n">
        <x:f>C329-D329</x:f>
        <x:v>-6.153100000000002</x:v>
      </x:c>
      <x:c r="F329" s="20" t="n">
        <x:f>IFERROR(E329/C329,0)</x:f>
        <x:v>-0.10064889922678434</x:v>
      </x:c>
      <x:c r="G329" s="23" t="n">
        <x:v>1136</x:v>
      </x:c>
      <x:c r="H329" s="23" t="n">
        <x:v>101</x:v>
      </x:c>
      <x:c r="I329" s="23"/>
      <x:c r="J329" s="20"/>
      <x:c r="K329" s="26" t="n">
        <x:v>1</x:v>
      </x:c>
      <x:c r="L329" s="26" t="n">
        <x:v>1</x:v>
      </x:c>
      <x:c r="M329" s="14" t="str">
        <x:f>IF(AND(K329=1,L329=1),"both_correct",IF(K329=1,"vanilla_only",IF(L329=1,"candidate_only","both_wrong")))</x:f>
        <x:v>both_correct</x:v>
      </x:c>
      <x:c r="N329" s="26" t="n">
        <x:v>0</x:v>
      </x:c>
      <x:c r="O329" s="26" t="n">
        <x:v>0</x:v>
      </x:c>
    </x:row>
    <x:row r="330" ht="21" customHeight="1">
      <x:c r="A330" s="14" t="str">
        <x:v>投诉助理工具调用</x:v>
      </x:c>
      <x:c r="B330" s="14" t="str">
        <x:v>Complaint_Specialist_002</x:v>
      </x:c>
      <x:c r="C330" s="17" t="n">
        <x:v>59.489</x:v>
      </x:c>
      <x:c r="D330" s="17" t="n">
        <x:v>71.1109</x:v>
      </x:c>
      <x:c r="E330" s="17" t="n">
        <x:f>C330-D330</x:f>
        <x:v>-11.621900000000004</x:v>
      </x:c>
      <x:c r="F330" s="20" t="n">
        <x:f>IFERROR(E330/C330,0)</x:f>
        <x:v>-0.19536216779572702</x:v>
      </x:c>
      <x:c r="G330" s="23" t="n">
        <x:v>1083</x:v>
      </x:c>
      <x:c r="H330" s="23" t="n">
        <x:v>98</x:v>
      </x:c>
      <x:c r="I330" s="23"/>
      <x:c r="J330" s="20"/>
      <x:c r="K330" s="26" t="n">
        <x:v>1</x:v>
      </x:c>
      <x:c r="L330" s="26" t="n">
        <x:v>1</x:v>
      </x:c>
      <x:c r="M330" s="14" t="str">
        <x:f>IF(AND(K330=1,L330=1),"both_correct",IF(K330=1,"vanilla_only",IF(L330=1,"candidate_only","both_wrong")))</x:f>
        <x:v>both_correct</x:v>
      </x:c>
      <x:c r="N330" s="26" t="n">
        <x:v>0</x:v>
      </x:c>
      <x:c r="O330" s="26" t="n">
        <x:v>0</x:v>
      </x:c>
    </x:row>
    <x:row r="331" ht="21" customHeight="1">
      <x:c r="A331" s="14" t="str">
        <x:v>投诉助理工具调用</x:v>
      </x:c>
      <x:c r="B331" s="14" t="str">
        <x:v>Complaint_Specialist_003</x:v>
      </x:c>
      <x:c r="C331" s="17" t="n">
        <x:v>77.821</x:v>
      </x:c>
      <x:c r="D331" s="17" t="n">
        <x:v>78.8322</x:v>
      </x:c>
      <x:c r="E331" s="17" t="n">
        <x:f>C331-D331</x:f>
        <x:v>-1.0112000000000023</x:v>
      </x:c>
      <x:c r="F331" s="20" t="n">
        <x:f>IFERROR(E331/C331,0)</x:f>
        <x:v>-0.012993921949088322</x:v>
      </x:c>
      <x:c r="G331" s="23" t="n">
        <x:v>1328</x:v>
      </x:c>
      <x:c r="H331" s="23" t="n">
        <x:v>95</x:v>
      </x:c>
      <x:c r="I331" s="23"/>
      <x:c r="J331" s="20"/>
      <x:c r="K331" s="26" t="n">
        <x:v>0</x:v>
      </x:c>
      <x:c r="L331" s="26" t="n">
        <x:v>1</x:v>
      </x:c>
      <x:c r="M331" s="14" t="str">
        <x:f>IF(AND(K331=1,L331=1),"both_correct",IF(K331=1,"vanilla_only",IF(L331=1,"candidate_only","both_wrong")))</x:f>
        <x:v>candidate_only</x:v>
      </x:c>
      <x:c r="N331" s="26" t="n">
        <x:v>0</x:v>
      </x:c>
      <x:c r="O331" s="26" t="n">
        <x:v>0</x:v>
      </x:c>
    </x:row>
    <x:row r="332" ht="21" customHeight="1">
      <x:c r="A332" s="14" t="str">
        <x:v>投诉助理工具调用</x:v>
      </x:c>
      <x:c r="B332" s="14" t="str">
        <x:v>Complaint_Specialist_004</x:v>
      </x:c>
      <x:c r="C332" s="17" t="n">
        <x:v>71.1604</x:v>
      </x:c>
      <x:c r="D332" s="17" t="n">
        <x:v>70.8851</x:v>
      </x:c>
      <x:c r="E332" s="17" t="n">
        <x:f>C332-D332</x:f>
        <x:v>0.27530000000000143</x:v>
      </x:c>
      <x:c r="F332" s="20" t="n">
        <x:f>IFERROR(E332/C332,0)</x:f>
        <x:v>0.003868724740164494</x:v>
      </x:c>
      <x:c r="G332" s="23" t="n">
        <x:v>1255</x:v>
      </x:c>
      <x:c r="H332" s="23" t="n">
        <x:v>99</x:v>
      </x:c>
      <x:c r="I332" s="23"/>
      <x:c r="J332" s="20"/>
      <x:c r="K332" s="26" t="n">
        <x:v>1</x:v>
      </x:c>
      <x:c r="L332" s="26" t="n">
        <x:v>1</x:v>
      </x:c>
      <x:c r="M332" s="14" t="str">
        <x:f>IF(AND(K332=1,L332=1),"both_correct",IF(K332=1,"vanilla_only",IF(L332=1,"candidate_only","both_wrong")))</x:f>
        <x:v>both_correct</x:v>
      </x:c>
      <x:c r="N332" s="26" t="n">
        <x:v>0</x:v>
      </x:c>
      <x:c r="O332" s="26" t="n">
        <x:v>0</x:v>
      </x:c>
    </x:row>
    <x:row r="333" ht="21" customHeight="1">
      <x:c r="A333" s="14" t="str">
        <x:v>投诉助理工具调用</x:v>
      </x:c>
      <x:c r="B333" s="14" t="str">
        <x:v>Complaint_Specialist_005</x:v>
      </x:c>
      <x:c r="C333" s="17" t="n">
        <x:v>70.8947</x:v>
      </x:c>
      <x:c r="D333" s="17" t="n">
        <x:v>68.643</x:v>
      </x:c>
      <x:c r="E333" s="17" t="n">
        <x:f>C333-D333</x:f>
        <x:v>2.2516999999999996</x:v>
      </x:c>
      <x:c r="F333" s="20" t="n">
        <x:f>IFERROR(E333/C333,0)</x:f>
        <x:v>0.03176118948242957</x:v>
      </x:c>
      <x:c r="G333" s="23" t="n">
        <x:v>1187</x:v>
      </x:c>
      <x:c r="H333" s="23" t="n">
        <x:v>99</x:v>
      </x:c>
      <x:c r="I333" s="23"/>
      <x:c r="J333" s="20"/>
      <x:c r="K333" s="26" t="n">
        <x:v>1</x:v>
      </x:c>
      <x:c r="L333" s="26" t="n">
        <x:v>1</x:v>
      </x:c>
      <x:c r="M333" s="14" t="str">
        <x:f>IF(AND(K333=1,L333=1),"both_correct",IF(K333=1,"vanilla_only",IF(L333=1,"candidate_only","both_wrong")))</x:f>
        <x:v>both_correct</x:v>
      </x:c>
      <x:c r="N333" s="26" t="n">
        <x:v>0</x:v>
      </x:c>
      <x:c r="O333" s="26" t="n">
        <x:v>0</x:v>
      </x:c>
    </x:row>
    <x:row r="334" ht="21" customHeight="1">
      <x:c r="A334" s="14" t="str">
        <x:v>投诉助理工具调用</x:v>
      </x:c>
      <x:c r="B334" s="14" t="str">
        <x:v>Complaint_Specialist_006</x:v>
      </x:c>
      <x:c r="C334" s="17" t="n">
        <x:v>73.0991</x:v>
      </x:c>
      <x:c r="D334" s="17" t="n">
        <x:v>70.8295</x:v>
      </x:c>
      <x:c r="E334" s="17" t="n">
        <x:f>C334-D334</x:f>
        <x:v>2.269600000000011</x:v>
      </x:c>
      <x:c r="F334" s="20" t="n">
        <x:f>IFERROR(E334/C334,0)</x:f>
        <x:v>0.031048261880105378</x:v>
      </x:c>
      <x:c r="G334" s="23" t="n">
        <x:v>1276</x:v>
      </x:c>
      <x:c r="H334" s="23" t="n">
        <x:v>104</x:v>
      </x:c>
      <x:c r="I334" s="23"/>
      <x:c r="J334" s="20"/>
      <x:c r="K334" s="26" t="n">
        <x:v>1</x:v>
      </x:c>
      <x:c r="L334" s="26" t="n">
        <x:v>1</x:v>
      </x:c>
      <x:c r="M334" s="14" t="str">
        <x:f>IF(AND(K334=1,L334=1),"both_correct",IF(K334=1,"vanilla_only",IF(L334=1,"candidate_only","both_wrong")))</x:f>
        <x:v>both_correct</x:v>
      </x:c>
      <x:c r="N334" s="26" t="n">
        <x:v>0</x:v>
      </x:c>
      <x:c r="O334" s="26" t="n">
        <x:v>0</x:v>
      </x:c>
    </x:row>
    <x:row r="335" ht="21" customHeight="1">
      <x:c r="A335" s="14" t="str">
        <x:v>投诉助理工具调用</x:v>
      </x:c>
      <x:c r="B335" s="14" t="str">
        <x:v>Complaint_Specialist_007</x:v>
      </x:c>
      <x:c r="C335" s="17" t="n">
        <x:v>94.4632</x:v>
      </x:c>
      <x:c r="D335" s="17" t="n">
        <x:v>71.6312</x:v>
      </x:c>
      <x:c r="E335" s="17" t="n">
        <x:f>C335-D335</x:f>
        <x:v>22.831999999999994</x:v>
      </x:c>
      <x:c r="F335" s="20" t="n">
        <x:f>IFERROR(E335/C335,0)</x:f>
        <x:v>0.24170258894468952</x:v>
      </x:c>
      <x:c r="G335" s="23" t="n">
        <x:v>1689</x:v>
      </x:c>
      <x:c r="H335" s="23" t="n">
        <x:v>132</x:v>
      </x:c>
      <x:c r="I335" s="23"/>
      <x:c r="J335" s="20"/>
      <x:c r="K335" s="26" t="n">
        <x:v>0</x:v>
      </x:c>
      <x:c r="L335" s="26" t="n">
        <x:v>0</x:v>
      </x:c>
      <x:c r="M335" s="14" t="str">
        <x:f>IF(AND(K335=1,L335=1),"both_correct",IF(K335=1,"vanilla_only",IF(L335=1,"candidate_only","both_wrong")))</x:f>
        <x:v>both_wrong</x:v>
      </x:c>
      <x:c r="N335" s="26" t="n">
        <x:v>0</x:v>
      </x:c>
      <x:c r="O335" s="26" t="n">
        <x:v>0</x:v>
      </x:c>
    </x:row>
    <x:row r="336" ht="21" customHeight="1">
      <x:c r="A336" s="14" t="str">
        <x:v>投诉助理工具调用</x:v>
      </x:c>
      <x:c r="B336" s="14" t="str">
        <x:v>Complaint_Specialist_008</x:v>
      </x:c>
      <x:c r="C336" s="17" t="n">
        <x:v>75.4292</x:v>
      </x:c>
      <x:c r="D336" s="17" t="n">
        <x:v>66.9884</x:v>
      </x:c>
      <x:c r="E336" s="17" t="n">
        <x:f>C336-D336</x:f>
        <x:v>8.440799999999996</x:v>
      </x:c>
      <x:c r="F336" s="20" t="n">
        <x:f>IFERROR(E336/C336,0)</x:f>
        <x:v>0.1119036129244377</x:v>
      </x:c>
      <x:c r="G336" s="23" t="n">
        <x:v>1359</x:v>
      </x:c>
      <x:c r="H336" s="23" t="n">
        <x:v>100</x:v>
      </x:c>
      <x:c r="I336" s="23"/>
      <x:c r="J336" s="20"/>
      <x:c r="K336" s="26" t="n">
        <x:v>1</x:v>
      </x:c>
      <x:c r="L336" s="26" t="n">
        <x:v>1</x:v>
      </x:c>
      <x:c r="M336" s="14" t="str">
        <x:f>IF(AND(K336=1,L336=1),"both_correct",IF(K336=1,"vanilla_only",IF(L336=1,"candidate_only","both_wrong")))</x:f>
        <x:v>both_correct</x:v>
      </x:c>
      <x:c r="N336" s="26" t="n">
        <x:v>0</x:v>
      </x:c>
      <x:c r="O336" s="26" t="n">
        <x:v>0</x:v>
      </x:c>
    </x:row>
    <x:row r="337" ht="21" customHeight="1">
      <x:c r="A337" s="14" t="str">
        <x:v>投诉助理工具调用</x:v>
      </x:c>
      <x:c r="B337" s="14" t="str">
        <x:v>Complaint_Specialist_009</x:v>
      </x:c>
      <x:c r="C337" s="17" t="n">
        <x:v>75.7598</x:v>
      </x:c>
      <x:c r="D337" s="17" t="n">
        <x:v>68.642</x:v>
      </x:c>
      <x:c r="E337" s="17" t="n">
        <x:f>C337-D337</x:f>
        <x:v>7.117800000000003</x:v>
      </x:c>
      <x:c r="F337" s="20" t="n">
        <x:f>IFERROR(E337/C337,0)</x:f>
        <x:v>0.09395220156336213</x:v>
      </x:c>
      <x:c r="G337" s="23" t="n">
        <x:v>1392</x:v>
      </x:c>
      <x:c r="H337" s="23" t="n">
        <x:v>134</x:v>
      </x:c>
      <x:c r="I337" s="23"/>
      <x:c r="J337" s="20"/>
      <x:c r="K337" s="26" t="n">
        <x:v>1</x:v>
      </x:c>
      <x:c r="L337" s="26" t="n">
        <x:v>0</x:v>
      </x:c>
      <x:c r="M337" s="14" t="str">
        <x:f>IF(AND(K337=1,L337=1),"both_correct",IF(K337=1,"vanilla_only",IF(L337=1,"candidate_only","both_wrong")))</x:f>
        <x:v>vanilla_only</x:v>
      </x:c>
      <x:c r="N337" s="26" t="n">
        <x:v>0</x:v>
      </x:c>
      <x:c r="O337" s="26" t="n">
        <x:v>0</x:v>
      </x:c>
    </x:row>
    <x:row r="338" ht="21" customHeight="1">
      <x:c r="A338" s="14" t="str">
        <x:v>投诉助理工具调用</x:v>
      </x:c>
      <x:c r="B338" s="14" t="str">
        <x:v>Complaint_Specialist_010</x:v>
      </x:c>
      <x:c r="C338" s="17" t="n">
        <x:v>71.6879</x:v>
      </x:c>
      <x:c r="D338" s="17" t="n">
        <x:v>65.2296</x:v>
      </x:c>
      <x:c r="E338" s="17" t="n">
        <x:f>C338-D338</x:f>
        <x:v>6.458299999999994</x:v>
      </x:c>
      <x:c r="F338" s="20" t="n">
        <x:f>IFERROR(E338/C338,0)</x:f>
        <x:v>0.09008912243209795</x:v>
      </x:c>
      <x:c r="G338" s="23" t="n">
        <x:v>1324</x:v>
      </x:c>
      <x:c r="H338" s="23" t="n">
        <x:v>97</x:v>
      </x:c>
      <x:c r="I338" s="23"/>
      <x:c r="J338" s="20"/>
      <x:c r="K338" s="26" t="n">
        <x:v>1</x:v>
      </x:c>
      <x:c r="L338" s="26" t="n">
        <x:v>1</x:v>
      </x:c>
      <x:c r="M338" s="14" t="str">
        <x:f>IF(AND(K338=1,L338=1),"both_correct",IF(K338=1,"vanilla_only",IF(L338=1,"candidate_only","both_wrong")))</x:f>
        <x:v>both_correct</x:v>
      </x:c>
      <x:c r="N338" s="26" t="n">
        <x:v>0</x:v>
      </x:c>
      <x:c r="O338" s="26" t="n">
        <x:v>0</x:v>
      </x:c>
    </x:row>
    <x:row r="339" ht="21" customHeight="1">
      <x:c r="A339" s="14" t="str">
        <x:v>投诉助理工具调用</x:v>
      </x:c>
      <x:c r="B339" s="14" t="str">
        <x:v>Complaint_Specialist_011</x:v>
      </x:c>
      <x:c r="C339" s="17" t="n">
        <x:v>65.7524</x:v>
      </x:c>
      <x:c r="D339" s="17" t="n">
        <x:v>66.4088</x:v>
      </x:c>
      <x:c r="E339" s="17" t="n">
        <x:f>C339-D339</x:f>
        <x:v>-0.656400000000005</x:v>
      </x:c>
      <x:c r="F339" s="20" t="n">
        <x:f>IFERROR(E339/C339,0)</x:f>
        <x:v>-0.009982905566945161</x:v>
      </x:c>
      <x:c r="G339" s="23" t="n">
        <x:v>1247</x:v>
      </x:c>
      <x:c r="H339" s="23" t="n">
        <x:v>99</x:v>
      </x:c>
      <x:c r="I339" s="23"/>
      <x:c r="J339" s="20"/>
      <x:c r="K339" s="26" t="n">
        <x:v>1</x:v>
      </x:c>
      <x:c r="L339" s="26" t="n">
        <x:v>1</x:v>
      </x:c>
      <x:c r="M339" s="14" t="str">
        <x:f>IF(AND(K339=1,L339=1),"both_correct",IF(K339=1,"vanilla_only",IF(L339=1,"candidate_only","both_wrong")))</x:f>
        <x:v>both_correct</x:v>
      </x:c>
      <x:c r="N339" s="26" t="n">
        <x:v>0</x:v>
      </x:c>
      <x:c r="O339" s="26" t="n">
        <x:v>0</x:v>
      </x:c>
    </x:row>
    <x:row r="340" ht="21" customHeight="1">
      <x:c r="A340" s="14" t="str">
        <x:v>投诉助理工具调用</x:v>
      </x:c>
      <x:c r="B340" s="14" t="str">
        <x:v>Complaint_Specialist_012</x:v>
      </x:c>
      <x:c r="C340" s="17" t="n">
        <x:v>65.7183</x:v>
      </x:c>
      <x:c r="D340" s="17" t="n">
        <x:v>66.9861</x:v>
      </x:c>
      <x:c r="E340" s="17" t="n">
        <x:f>C340-D340</x:f>
        <x:v>-1.267799999999994</x:v>
      </x:c>
      <x:c r="F340" s="20" t="n">
        <x:f>IFERROR(E340/C340,0)</x:f>
        <x:v>-0.019291430240891715</x:v>
      </x:c>
      <x:c r="G340" s="23" t="n">
        <x:v>1146</x:v>
      </x:c>
      <x:c r="H340" s="23" t="n">
        <x:v>78</x:v>
      </x:c>
      <x:c r="I340" s="23"/>
      <x:c r="J340" s="20"/>
      <x:c r="K340" s="26" t="n">
        <x:v>1</x:v>
      </x:c>
      <x:c r="L340" s="26" t="n">
        <x:v>1</x:v>
      </x:c>
      <x:c r="M340" s="14" t="str">
        <x:f>IF(AND(K340=1,L340=1),"both_correct",IF(K340=1,"vanilla_only",IF(L340=1,"candidate_only","both_wrong")))</x:f>
        <x:v>both_correct</x:v>
      </x:c>
      <x:c r="N340" s="26" t="n">
        <x:v>0</x:v>
      </x:c>
      <x:c r="O340" s="26" t="n">
        <x:v>0</x:v>
      </x:c>
    </x:row>
    <x:row r="341" ht="21" customHeight="1">
      <x:c r="A341" s="14" t="str">
        <x:v>投诉助理工具调用</x:v>
      </x:c>
      <x:c r="B341" s="14" t="str">
        <x:v>Complaint_Specialist_013</x:v>
      </x:c>
      <x:c r="C341" s="17" t="n">
        <x:v>68.1704</x:v>
      </x:c>
      <x:c r="D341" s="17" t="n">
        <x:v>63.9316</x:v>
      </x:c>
      <x:c r="E341" s="17" t="n">
        <x:f>C341-D341</x:f>
        <x:v>4.238799999999998</x:v>
      </x:c>
      <x:c r="F341" s="20" t="n">
        <x:f>IFERROR(E341/C341,0)</x:f>
        <x:v>0.06217947965685983</x:v>
      </x:c>
      <x:c r="G341" s="23" t="n">
        <x:v>1249</x:v>
      </x:c>
      <x:c r="H341" s="23" t="n">
        <x:v>101</x:v>
      </x:c>
      <x:c r="I341" s="23"/>
      <x:c r="J341" s="20"/>
      <x:c r="K341" s="26" t="n">
        <x:v>1</x:v>
      </x:c>
      <x:c r="L341" s="26" t="n">
        <x:v>1</x:v>
      </x:c>
      <x:c r="M341" s="14" t="str">
        <x:f>IF(AND(K341=1,L341=1),"both_correct",IF(K341=1,"vanilla_only",IF(L341=1,"candidate_only","both_wrong")))</x:f>
        <x:v>both_correct</x:v>
      </x:c>
      <x:c r="N341" s="26" t="n">
        <x:v>0</x:v>
      </x:c>
      <x:c r="O341" s="26" t="n">
        <x:v>0</x:v>
      </x:c>
    </x:row>
    <x:row r="342" ht="21" customHeight="1">
      <x:c r="A342" s="14" t="str">
        <x:v>投诉助理工具调用</x:v>
      </x:c>
      <x:c r="B342" s="14" t="str">
        <x:v>Complaint_Specialist_014</x:v>
      </x:c>
      <x:c r="C342" s="17" t="n">
        <x:v>54.051</x:v>
      </x:c>
      <x:c r="D342" s="17" t="n">
        <x:v>70.7904</x:v>
      </x:c>
      <x:c r="E342" s="17" t="n">
        <x:f>C342-D342</x:f>
        <x:v>-16.739400000000003</x:v>
      </x:c>
      <x:c r="F342" s="20" t="n">
        <x:f>IFERROR(E342/C342,0)</x:f>
        <x:v>-0.3096963978464784</x:v>
      </x:c>
      <x:c r="G342" s="23" t="n">
        <x:v>947</x:v>
      </x:c>
      <x:c r="H342" s="23" t="n">
        <x:v>94</x:v>
      </x:c>
      <x:c r="I342" s="23"/>
      <x:c r="J342" s="20"/>
      <x:c r="K342" s="26" t="n">
        <x:v>1</x:v>
      </x:c>
      <x:c r="L342" s="26" t="n">
        <x:v>1</x:v>
      </x:c>
      <x:c r="M342" s="14" t="str">
        <x:f>IF(AND(K342=1,L342=1),"both_correct",IF(K342=1,"vanilla_only",IF(L342=1,"candidate_only","both_wrong")))</x:f>
        <x:v>both_correct</x:v>
      </x:c>
      <x:c r="N342" s="26" t="n">
        <x:v>0</x:v>
      </x:c>
      <x:c r="O342" s="26" t="n">
        <x:v>0</x:v>
      </x:c>
    </x:row>
    <x:row r="343" ht="21" customHeight="1">
      <x:c r="A343" s="14" t="str">
        <x:v>投诉助理工具调用</x:v>
      </x:c>
      <x:c r="B343" s="14" t="str">
        <x:v>Complaint_Specialist_015</x:v>
      </x:c>
      <x:c r="C343" s="17" t="n">
        <x:v>68.7938</x:v>
      </x:c>
      <x:c r="D343" s="17" t="n">
        <x:v>66.3528</x:v>
      </x:c>
      <x:c r="E343" s="17" t="n">
        <x:f>C343-D343</x:f>
        <x:v>2.4410000000000025</x:v>
      </x:c>
      <x:c r="F343" s="20" t="n">
        <x:f>IFERROR(E343/C343,0)</x:f>
        <x:v>0.03548284874509043</x:v>
      </x:c>
      <x:c r="G343" s="23" t="n">
        <x:v>1273</x:v>
      </x:c>
      <x:c r="H343" s="23" t="n">
        <x:v>101</x:v>
      </x:c>
      <x:c r="I343" s="23"/>
      <x:c r="J343" s="20"/>
      <x:c r="K343" s="26" t="n">
        <x:v>1</x:v>
      </x:c>
      <x:c r="L343" s="26" t="n">
        <x:v>1</x:v>
      </x:c>
      <x:c r="M343" s="14" t="str">
        <x:f>IF(AND(K343=1,L343=1),"both_correct",IF(K343=1,"vanilla_only",IF(L343=1,"candidate_only","both_wrong")))</x:f>
        <x:v>both_correct</x:v>
      </x:c>
      <x:c r="N343" s="26" t="n">
        <x:v>0</x:v>
      </x:c>
      <x:c r="O343" s="26" t="n">
        <x:v>0</x:v>
      </x:c>
    </x:row>
    <x:row r="344" ht="21" customHeight="1">
      <x:c r="A344" s="14" t="str">
        <x:v>投诉助理工具调用</x:v>
      </x:c>
      <x:c r="B344" s="14" t="str">
        <x:v>Complaint_Specialist_016</x:v>
      </x:c>
      <x:c r="C344" s="17" t="n">
        <x:v>84.9937</x:v>
      </x:c>
      <x:c r="D344" s="17" t="n">
        <x:v>70.1721</x:v>
      </x:c>
      <x:c r="E344" s="17" t="n">
        <x:f>C344-D344</x:f>
        <x:v>14.821600000000004</x:v>
      </x:c>
      <x:c r="F344" s="20" t="n">
        <x:f>IFERROR(E344/C344,0)</x:f>
        <x:v>0.1743846896887652</x:v>
      </x:c>
      <x:c r="G344" s="23" t="n">
        <x:v>1520</x:v>
      </x:c>
      <x:c r="H344" s="23" t="n">
        <x:v>125</x:v>
      </x:c>
      <x:c r="I344" s="23"/>
      <x:c r="J344" s="20"/>
      <x:c r="K344" s="26" t="n">
        <x:v>1</x:v>
      </x:c>
      <x:c r="L344" s="26" t="n">
        <x:v>1</x:v>
      </x:c>
      <x:c r="M344" s="14" t="str">
        <x:f>IF(AND(K344=1,L344=1),"both_correct",IF(K344=1,"vanilla_only",IF(L344=1,"candidate_only","both_wrong")))</x:f>
        <x:v>both_correct</x:v>
      </x:c>
      <x:c r="N344" s="26" t="n">
        <x:v>0</x:v>
      </x:c>
      <x:c r="O344" s="26" t="n">
        <x:v>0</x:v>
      </x:c>
    </x:row>
    <x:row r="345" ht="21" customHeight="1">
      <x:c r="A345" s="14" t="str">
        <x:v>投诉助理工具调用</x:v>
      </x:c>
      <x:c r="B345" s="14" t="str">
        <x:v>Complaint_Specialist_017</x:v>
      </x:c>
      <x:c r="C345" s="17" t="n">
        <x:v>82.0902</x:v>
      </x:c>
      <x:c r="D345" s="17" t="n">
        <x:v>72.6921</x:v>
      </x:c>
      <x:c r="E345" s="17" t="n">
        <x:f>C345-D345</x:f>
        <x:v>9.3981</x:v>
      </x:c>
      <x:c r="F345" s="20" t="n">
        <x:f>IFERROR(E345/C345,0)</x:f>
        <x:v>0.11448504206348627</x:v>
      </x:c>
      <x:c r="G345" s="23" t="n">
        <x:v>1524</x:v>
      </x:c>
      <x:c r="H345" s="23" t="n">
        <x:v>165</x:v>
      </x:c>
      <x:c r="I345" s="23"/>
      <x:c r="J345" s="20"/>
      <x:c r="K345" s="26" t="n">
        <x:v>1</x:v>
      </x:c>
      <x:c r="L345" s="26" t="n">
        <x:v>1</x:v>
      </x:c>
      <x:c r="M345" s="14" t="str">
        <x:f>IF(AND(K345=1,L345=1),"both_correct",IF(K345=1,"vanilla_only",IF(L345=1,"candidate_only","both_wrong")))</x:f>
        <x:v>both_correct</x:v>
      </x:c>
      <x:c r="N345" s="26" t="n">
        <x:v>0</x:v>
      </x:c>
      <x:c r="O345" s="26" t="n">
        <x:v>0</x:v>
      </x:c>
    </x:row>
    <x:row r="346" ht="21" customHeight="1">
      <x:c r="A346" s="14" t="str">
        <x:v>投诉助理工具调用</x:v>
      </x:c>
      <x:c r="B346" s="14" t="str">
        <x:v>Complaint_Specialist_018</x:v>
      </x:c>
      <x:c r="C346" s="17" t="n">
        <x:v>74.645</x:v>
      </x:c>
      <x:c r="D346" s="17" t="n">
        <x:v>73.8451</x:v>
      </x:c>
      <x:c r="E346" s="17" t="n">
        <x:f>C346-D346</x:f>
        <x:v>0.7998999999999938</x:v>
      </x:c>
      <x:c r="F346" s="20" t="n">
        <x:f>IFERROR(E346/C346,0)</x:f>
        <x:v>0.010716055998392308</x:v>
      </x:c>
      <x:c r="G346" s="23" t="n">
        <x:v>1295</x:v>
      </x:c>
      <x:c r="H346" s="23" t="n">
        <x:v>131</x:v>
      </x:c>
      <x:c r="I346" s="23"/>
      <x:c r="J346" s="20"/>
      <x:c r="K346" s="26" t="n">
        <x:v>1</x:v>
      </x:c>
      <x:c r="L346" s="26" t="n">
        <x:v>1</x:v>
      </x:c>
      <x:c r="M346" s="14" t="str">
        <x:f>IF(AND(K346=1,L346=1),"both_correct",IF(K346=1,"vanilla_only",IF(L346=1,"candidate_only","both_wrong")))</x:f>
        <x:v>both_correct</x:v>
      </x:c>
      <x:c r="N346" s="26" t="n">
        <x:v>0</x:v>
      </x:c>
      <x:c r="O346" s="26" t="n">
        <x:v>0</x:v>
      </x:c>
    </x:row>
    <x:row r="347" ht="21" customHeight="1">
      <x:c r="A347" s="14" t="str">
        <x:v>投诉助理工具调用</x:v>
      </x:c>
      <x:c r="B347" s="14" t="str">
        <x:v>Complaint_Specialist_019</x:v>
      </x:c>
      <x:c r="C347" s="17" t="n">
        <x:v>71.2025</x:v>
      </x:c>
      <x:c r="D347" s="17" t="n">
        <x:v>70.3804</x:v>
      </x:c>
      <x:c r="E347" s="17" t="n">
        <x:f>C347-D347</x:f>
        <x:v>0.822100000000006</x:v>
      </x:c>
      <x:c r="F347" s="20" t="n">
        <x:f>IFERROR(E347/C347,0)</x:f>
        <x:v>0.011545942909308044</x:v>
      </x:c>
      <x:c r="G347" s="23" t="n">
        <x:v>1247</x:v>
      </x:c>
      <x:c r="H347" s="23" t="n">
        <x:v>99</x:v>
      </x:c>
      <x:c r="I347" s="23"/>
      <x:c r="J347" s="20"/>
      <x:c r="K347" s="26" t="n">
        <x:v>1</x:v>
      </x:c>
      <x:c r="L347" s="26" t="n">
        <x:v>1</x:v>
      </x:c>
      <x:c r="M347" s="14" t="str">
        <x:f>IF(AND(K347=1,L347=1),"both_correct",IF(K347=1,"vanilla_only",IF(L347=1,"candidate_only","both_wrong")))</x:f>
        <x:v>both_correct</x:v>
      </x:c>
      <x:c r="N347" s="26" t="n">
        <x:v>0</x:v>
      </x:c>
      <x:c r="O347" s="26" t="n">
        <x:v>0</x:v>
      </x:c>
    </x:row>
    <x:row r="348" ht="21" customHeight="1">
      <x:c r="A348" s="14" t="str">
        <x:v>投诉助理工具调用</x:v>
      </x:c>
      <x:c r="B348" s="14" t="str">
        <x:v>Complaint_Specialist_020</x:v>
      </x:c>
      <x:c r="C348" s="17" t="n">
        <x:v>77.5322</x:v>
      </x:c>
      <x:c r="D348" s="17" t="n">
        <x:v>71.9405</x:v>
      </x:c>
      <x:c r="E348" s="17" t="n">
        <x:f>C348-D348</x:f>
        <x:v>5.591700000000003</x:v>
      </x:c>
      <x:c r="F348" s="20" t="n">
        <x:f>IFERROR(E348/C348,0)</x:f>
        <x:v>0.07212100262858533</x:v>
      </x:c>
      <x:c r="G348" s="23" t="n">
        <x:v>1322</x:v>
      </x:c>
      <x:c r="H348" s="23" t="n">
        <x:v>90</x:v>
      </x:c>
      <x:c r="I348" s="23"/>
      <x:c r="J348" s="20"/>
      <x:c r="K348" s="26" t="n">
        <x:v>1</x:v>
      </x:c>
      <x:c r="L348" s="26" t="n">
        <x:v>1</x:v>
      </x:c>
      <x:c r="M348" s="14" t="str">
        <x:f>IF(AND(K348=1,L348=1),"both_correct",IF(K348=1,"vanilla_only",IF(L348=1,"candidate_only","both_wrong")))</x:f>
        <x:v>both_correct</x:v>
      </x:c>
      <x:c r="N348" s="26" t="n">
        <x:v>0</x:v>
      </x:c>
      <x:c r="O348" s="26" t="n">
        <x:v>0</x:v>
      </x:c>
    </x:row>
    <x:row r="349" ht="21" customHeight="1">
      <x:c r="A349" s="14" t="str">
        <x:v>投诉助理工具调用</x:v>
      </x:c>
      <x:c r="B349" s="14" t="str">
        <x:v>Complaint_Specialist_021</x:v>
      </x:c>
      <x:c r="C349" s="17" t="n">
        <x:v>65.6739</x:v>
      </x:c>
      <x:c r="D349" s="17" t="n">
        <x:v>72.9328</x:v>
      </x:c>
      <x:c r="E349" s="17" t="n">
        <x:f>C349-D349</x:f>
        <x:v>-7.258899999999997</x:v>
      </x:c>
      <x:c r="F349" s="20" t="n">
        <x:f>IFERROR(E349/C349,0)</x:f>
        <x:v>-0.11052944929416399</x:v>
      </x:c>
      <x:c r="G349" s="23" t="n">
        <x:v>1133</x:v>
      </x:c>
      <x:c r="H349" s="23" t="n">
        <x:v>74</x:v>
      </x:c>
      <x:c r="I349" s="23"/>
      <x:c r="J349" s="20"/>
      <x:c r="K349" s="26" t="n">
        <x:v>1</x:v>
      </x:c>
      <x:c r="L349" s="26" t="n">
        <x:v>1</x:v>
      </x:c>
      <x:c r="M349" s="14" t="str">
        <x:f>IF(AND(K349=1,L349=1),"both_correct",IF(K349=1,"vanilla_only",IF(L349=1,"candidate_only","both_wrong")))</x:f>
        <x:v>both_correct</x:v>
      </x:c>
      <x:c r="N349" s="26" t="n">
        <x:v>0</x:v>
      </x:c>
      <x:c r="O349" s="26" t="n">
        <x:v>0</x:v>
      </x:c>
    </x:row>
    <x:row r="350" ht="21" customHeight="1">
      <x:c r="A350" s="14" t="str">
        <x:v>投诉助理工具调用</x:v>
      </x:c>
      <x:c r="B350" s="14" t="str">
        <x:v>Complaint_Specialist_022</x:v>
      </x:c>
      <x:c r="C350" s="17" t="n">
        <x:v>65.8864</x:v>
      </x:c>
      <x:c r="D350" s="17" t="n">
        <x:v>64.5671</x:v>
      </x:c>
      <x:c r="E350" s="17" t="n">
        <x:f>C350-D350</x:f>
        <x:v>1.3192999999999984</x:v>
      </x:c>
      <x:c r="F350" s="20" t="n">
        <x:f>IFERROR(E350/C350,0)</x:f>
        <x:v>0.020023859248646133</x:v>
      </x:c>
      <x:c r="G350" s="23" t="n">
        <x:v>1210</x:v>
      </x:c>
      <x:c r="H350" s="23" t="n">
        <x:v>97</x:v>
      </x:c>
      <x:c r="I350" s="23"/>
      <x:c r="J350" s="20"/>
      <x:c r="K350" s="26" t="n">
        <x:v>1</x:v>
      </x:c>
      <x:c r="L350" s="26" t="n">
        <x:v>1</x:v>
      </x:c>
      <x:c r="M350" s="14" t="str">
        <x:f>IF(AND(K350=1,L350=1),"both_correct",IF(K350=1,"vanilla_only",IF(L350=1,"candidate_only","both_wrong")))</x:f>
        <x:v>both_correct</x:v>
      </x:c>
      <x:c r="N350" s="26" t="n">
        <x:v>0</x:v>
      </x:c>
      <x:c r="O350" s="26" t="n">
        <x:v>0</x:v>
      </x:c>
    </x:row>
    <x:row r="351" ht="21" customHeight="1">
      <x:c r="A351" s="14" t="str">
        <x:v>投诉助理工具调用</x:v>
      </x:c>
      <x:c r="B351" s="14" t="str">
        <x:v>Complaint_Specialist_023</x:v>
      </x:c>
      <x:c r="C351" s="17" t="n">
        <x:v>71.1075</x:v>
      </x:c>
      <x:c r="D351" s="17" t="n">
        <x:v>66.2198</x:v>
      </x:c>
      <x:c r="E351" s="17" t="n">
        <x:f>C351-D351</x:f>
        <x:v>4.887699999999995</x:v>
      </x:c>
      <x:c r="F351" s="20" t="n">
        <x:f>IFERROR(E351/C351,0)</x:f>
        <x:v>0.06873677178919235</x:v>
      </x:c>
      <x:c r="G351" s="23" t="n">
        <x:v>1316</x:v>
      </x:c>
      <x:c r="H351" s="23" t="n">
        <x:v>88</x:v>
      </x:c>
      <x:c r="I351" s="23"/>
      <x:c r="J351" s="20"/>
      <x:c r="K351" s="26" t="n">
        <x:v>1</x:v>
      </x:c>
      <x:c r="L351" s="26" t="n">
        <x:v>1</x:v>
      </x:c>
      <x:c r="M351" s="14" t="str">
        <x:f>IF(AND(K351=1,L351=1),"both_correct",IF(K351=1,"vanilla_only",IF(L351=1,"candidate_only","both_wrong")))</x:f>
        <x:v>both_correct</x:v>
      </x:c>
      <x:c r="N351" s="26" t="n">
        <x:v>0</x:v>
      </x:c>
      <x:c r="O351" s="26" t="n">
        <x:v>0</x:v>
      </x:c>
    </x:row>
    <x:row r="352" ht="21" customHeight="1">
      <x:c r="A352" s="14" t="str">
        <x:v>投诉助理工具调用</x:v>
      </x:c>
      <x:c r="B352" s="14" t="str">
        <x:v>Complaint_Specialist_024</x:v>
      </x:c>
      <x:c r="C352" s="17" t="n">
        <x:v>72.3035</x:v>
      </x:c>
      <x:c r="D352" s="17" t="n">
        <x:v>69.9282</x:v>
      </x:c>
      <x:c r="E352" s="17" t="n">
        <x:f>C352-D352</x:f>
        <x:v>2.3752999999999957</x:v>
      </x:c>
      <x:c r="F352" s="20" t="n">
        <x:f>IFERROR(E352/C352,0)</x:f>
        <x:v>0.03285179832234948</x:v>
      </x:c>
      <x:c r="G352" s="23" t="n">
        <x:v>1194</x:v>
      </x:c>
      <x:c r="H352" s="23" t="n">
        <x:v>72</x:v>
      </x:c>
      <x:c r="I352" s="23"/>
      <x:c r="J352" s="20"/>
      <x:c r="K352" s="26" t="n">
        <x:v>1</x:v>
      </x:c>
      <x:c r="L352" s="26" t="n">
        <x:v>1</x:v>
      </x:c>
      <x:c r="M352" s="14" t="str">
        <x:f>IF(AND(K352=1,L352=1),"both_correct",IF(K352=1,"vanilla_only",IF(L352=1,"candidate_only","both_wrong")))</x:f>
        <x:v>both_correct</x:v>
      </x:c>
      <x:c r="N352" s="26" t="n">
        <x:v>0</x:v>
      </x:c>
      <x:c r="O352" s="26" t="n">
        <x:v>0</x:v>
      </x:c>
    </x:row>
    <x:row r="353" ht="21" customHeight="1">
      <x:c r="A353" s="14" t="str">
        <x:v>投诉助理工具调用</x:v>
      </x:c>
      <x:c r="B353" s="14" t="str">
        <x:v>Complaint_Specialist_025</x:v>
      </x:c>
      <x:c r="C353" s="17" t="n">
        <x:v>61.4919</x:v>
      </x:c>
      <x:c r="D353" s="17" t="n">
        <x:v>61.386</x:v>
      </x:c>
      <x:c r="E353" s="17" t="n">
        <x:f>C353-D353</x:f>
        <x:v>0.10589999999999833</x:v>
      </x:c>
      <x:c r="F353" s="20" t="n">
        <x:f>IFERROR(E353/C353,0)</x:f>
        <x:v>0.0017221780429617288</x:v>
      </x:c>
      <x:c r="G353" s="23" t="n">
        <x:v>1103</x:v>
      </x:c>
      <x:c r="H353" s="23" t="n">
        <x:v>93</x:v>
      </x:c>
      <x:c r="I353" s="23"/>
      <x:c r="J353" s="20"/>
      <x:c r="K353" s="26" t="n">
        <x:v>1</x:v>
      </x:c>
      <x:c r="L353" s="26" t="n">
        <x:v>1</x:v>
      </x:c>
      <x:c r="M353" s="14" t="str">
        <x:f>IF(AND(K353=1,L353=1),"both_correct",IF(K353=1,"vanilla_only",IF(L353=1,"candidate_only","both_wrong")))</x:f>
        <x:v>both_correct</x:v>
      </x:c>
      <x:c r="N353" s="26" t="n">
        <x:v>0</x:v>
      </x:c>
      <x:c r="O353" s="26" t="n">
        <x:v>0</x:v>
      </x:c>
    </x:row>
    <x:row r="354" ht="21" customHeight="1">
      <x:c r="A354" s="14" t="str">
        <x:v>投诉助理工具调用</x:v>
      </x:c>
      <x:c r="B354" s="14" t="str">
        <x:v>Complaint_Specialist_026</x:v>
      </x:c>
      <x:c r="C354" s="17" t="n">
        <x:v>59.0166</x:v>
      </x:c>
      <x:c r="D354" s="17" t="n">
        <x:v>62.7769</x:v>
      </x:c>
      <x:c r="E354" s="17" t="n">
        <x:f>C354-D354</x:f>
        <x:v>-3.760300000000001</x:v>
      </x:c>
      <x:c r="F354" s="20" t="n">
        <x:f>IFERROR(E354/C354,0)</x:f>
        <x:v>-0.06371597143854443</x:v>
      </x:c>
      <x:c r="G354" s="23" t="n">
        <x:v>1074</x:v>
      </x:c>
      <x:c r="H354" s="23" t="n">
        <x:v>77</x:v>
      </x:c>
      <x:c r="I354" s="23"/>
      <x:c r="J354" s="20"/>
      <x:c r="K354" s="26" t="n">
        <x:v>1</x:v>
      </x:c>
      <x:c r="L354" s="26" t="n">
        <x:v>1</x:v>
      </x:c>
      <x:c r="M354" s="14" t="str">
        <x:f>IF(AND(K354=1,L354=1),"both_correct",IF(K354=1,"vanilla_only",IF(L354=1,"candidate_only","both_wrong")))</x:f>
        <x:v>both_correct</x:v>
      </x:c>
      <x:c r="N354" s="26" t="n">
        <x:v>0</x:v>
      </x:c>
      <x:c r="O354" s="26" t="n">
        <x:v>0</x:v>
      </x:c>
    </x:row>
    <x:row r="355" ht="21" customHeight="1">
      <x:c r="A355" s="14" t="str">
        <x:v>投诉助理工具调用</x:v>
      </x:c>
      <x:c r="B355" s="14" t="str">
        <x:v>Complaint_Specialist_027</x:v>
      </x:c>
      <x:c r="C355" s="17" t="n">
        <x:v>82.3254</x:v>
      </x:c>
      <x:c r="D355" s="17" t="n">
        <x:v>72.9</x:v>
      </x:c>
      <x:c r="E355" s="17" t="n">
        <x:f>C355-D355</x:f>
        <x:v>9.425399999999996</x:v>
      </x:c>
      <x:c r="F355" s="20" t="n">
        <x:f>IFERROR(E355/C355,0)</x:f>
        <x:v>0.11448957429906197</x:v>
      </x:c>
      <x:c r="G355" s="23" t="n">
        <x:v>1395</x:v>
      </x:c>
      <x:c r="H355" s="23" t="n">
        <x:v>114</x:v>
      </x:c>
      <x:c r="I355" s="23"/>
      <x:c r="J355" s="20"/>
      <x:c r="K355" s="26" t="n">
        <x:v>1</x:v>
      </x:c>
      <x:c r="L355" s="26" t="n">
        <x:v>1</x:v>
      </x:c>
      <x:c r="M355" s="14" t="str">
        <x:f>IF(AND(K355=1,L355=1),"both_correct",IF(K355=1,"vanilla_only",IF(L355=1,"candidate_only","both_wrong")))</x:f>
        <x:v>both_correct</x:v>
      </x:c>
      <x:c r="N355" s="26" t="n">
        <x:v>0</x:v>
      </x:c>
      <x:c r="O355" s="26" t="n">
        <x:v>0</x:v>
      </x:c>
    </x:row>
    <x:row r="356" ht="21" customHeight="1">
      <x:c r="A356" s="14" t="str">
        <x:v>投诉助理工具调用</x:v>
      </x:c>
      <x:c r="B356" s="14" t="str">
        <x:v>Complaint_Specialist_028</x:v>
      </x:c>
      <x:c r="C356" s="17" t="n">
        <x:v>73.3631</x:v>
      </x:c>
      <x:c r="D356" s="17" t="n">
        <x:v>63.6215</x:v>
      </x:c>
      <x:c r="E356" s="17" t="n">
        <x:f>C356-D356</x:f>
        <x:v>9.741600000000005</x:v>
      </x:c>
      <x:c r="F356" s="20" t="n">
        <x:f>IFERROR(E356/C356,0)</x:f>
        <x:v>0.1327861009144925</x:v>
      </x:c>
      <x:c r="G356" s="23" t="n">
        <x:v>1240</x:v>
      </x:c>
      <x:c r="H356" s="23" t="n">
        <x:v>84</x:v>
      </x:c>
      <x:c r="I356" s="23"/>
      <x:c r="J356" s="20"/>
      <x:c r="K356" s="26" t="n">
        <x:v>1</x:v>
      </x:c>
      <x:c r="L356" s="26" t="n">
        <x:v>1</x:v>
      </x:c>
      <x:c r="M356" s="14" t="str">
        <x:f>IF(AND(K356=1,L356=1),"both_correct",IF(K356=1,"vanilla_only",IF(L356=1,"candidate_only","both_wrong")))</x:f>
        <x:v>both_correct</x:v>
      </x:c>
      <x:c r="N356" s="26" t="n">
        <x:v>0</x:v>
      </x:c>
      <x:c r="O356" s="26" t="n">
        <x:v>0</x:v>
      </x:c>
    </x:row>
    <x:row r="357" ht="21" customHeight="1">
      <x:c r="A357" s="14" t="str">
        <x:v>投诉助理工具调用</x:v>
      </x:c>
      <x:c r="B357" s="14" t="str">
        <x:v>Complaint_Specialist_029</x:v>
      </x:c>
      <x:c r="C357" s="17" t="n">
        <x:v>73.538</x:v>
      </x:c>
      <x:c r="D357" s="17" t="n">
        <x:v>73.4347</x:v>
      </x:c>
      <x:c r="E357" s="17" t="n">
        <x:f>C357-D357</x:f>
        <x:v>0.10329999999999018</x:v>
      </x:c>
      <x:c r="F357" s="20" t="n">
        <x:f>IFERROR(E357/C357,0)</x:f>
        <x:v>0.0014047159291793382</x:v>
      </x:c>
      <x:c r="G357" s="23" t="n">
        <x:v>1235</x:v>
      </x:c>
      <x:c r="H357" s="23" t="n">
        <x:v>99</x:v>
      </x:c>
      <x:c r="I357" s="23"/>
      <x:c r="J357" s="20"/>
      <x:c r="K357" s="26" t="n">
        <x:v>1</x:v>
      </x:c>
      <x:c r="L357" s="26" t="n">
        <x:v>1</x:v>
      </x:c>
      <x:c r="M357" s="14" t="str">
        <x:f>IF(AND(K357=1,L357=1),"both_correct",IF(K357=1,"vanilla_only",IF(L357=1,"candidate_only","both_wrong")))</x:f>
        <x:v>both_correct</x:v>
      </x:c>
      <x:c r="N357" s="26" t="n">
        <x:v>0</x:v>
      </x:c>
      <x:c r="O357" s="26" t="n">
        <x:v>0</x:v>
      </x:c>
    </x:row>
    <x:row r="358" ht="21" customHeight="1">
      <x:c r="A358" s="14" t="str">
        <x:v>投诉助理工具调用</x:v>
      </x:c>
      <x:c r="B358" s="14" t="str">
        <x:v>Complaint_Specialist_030</x:v>
      </x:c>
      <x:c r="C358" s="17" t="n">
        <x:v>68.9046</x:v>
      </x:c>
      <x:c r="D358" s="17" t="n">
        <x:v>73.1895</x:v>
      </x:c>
      <x:c r="E358" s="17" t="n">
        <x:f>C358-D358</x:f>
        <x:v>-4.284899999999993</x:v>
      </x:c>
      <x:c r="F358" s="20" t="n">
        <x:f>IFERROR(E358/C358,0)</x:f>
        <x:v>-0.06218597887514031</x:v>
      </x:c>
      <x:c r="G358" s="23" t="n">
        <x:v>1132</x:v>
      </x:c>
      <x:c r="H358" s="23" t="n">
        <x:v>90</x:v>
      </x:c>
      <x:c r="I358" s="23"/>
      <x:c r="J358" s="20"/>
      <x:c r="K358" s="26" t="n">
        <x:v>1</x:v>
      </x:c>
      <x:c r="L358" s="26" t="n">
        <x:v>1</x:v>
      </x:c>
      <x:c r="M358" s="14" t="str">
        <x:f>IF(AND(K358=1,L358=1),"both_correct",IF(K358=1,"vanilla_only",IF(L358=1,"candidate_only","both_wrong")))</x:f>
        <x:v>both_correct</x:v>
      </x:c>
      <x:c r="N358" s="26" t="n">
        <x:v>0</x:v>
      </x:c>
      <x:c r="O358" s="26" t="n">
        <x:v>0</x:v>
      </x:c>
    </x:row>
    <x:row r="359" ht="21" customHeight="1">
      <x:c r="A359" s="14" t="str">
        <x:v>投诉助理工具调用</x:v>
      </x:c>
      <x:c r="B359" s="14" t="str">
        <x:v>Complaint_Specialist_031</x:v>
      </x:c>
      <x:c r="C359" s="17" t="n">
        <x:v>74.1733</x:v>
      </x:c>
      <x:c r="D359" s="17" t="n">
        <x:v>74.5098</x:v>
      </x:c>
      <x:c r="E359" s="17" t="n">
        <x:f>C359-D359</x:f>
        <x:v>-0.3365000000000009</x:v>
      </x:c>
      <x:c r="F359" s="20" t="n">
        <x:f>IFERROR(E359/C359,0)</x:f>
        <x:v>-0.004536672899817062</x:v>
      </x:c>
      <x:c r="G359" s="23" t="n">
        <x:v>1269</x:v>
      </x:c>
      <x:c r="H359" s="23" t="n">
        <x:v>94</x:v>
      </x:c>
      <x:c r="I359" s="23"/>
      <x:c r="J359" s="20"/>
      <x:c r="K359" s="26" t="n">
        <x:v>1</x:v>
      </x:c>
      <x:c r="L359" s="26" t="n">
        <x:v>1</x:v>
      </x:c>
      <x:c r="M359" s="14" t="str">
        <x:f>IF(AND(K359=1,L359=1),"both_correct",IF(K359=1,"vanilla_only",IF(L359=1,"candidate_only","both_wrong")))</x:f>
        <x:v>both_correct</x:v>
      </x:c>
      <x:c r="N359" s="26" t="n">
        <x:v>0</x:v>
      </x:c>
      <x:c r="O359" s="26" t="n">
        <x:v>0</x:v>
      </x:c>
    </x:row>
    <x:row r="360" ht="21" customHeight="1">
      <x:c r="A360" s="14" t="str">
        <x:v>投诉助理工具调用</x:v>
      </x:c>
      <x:c r="B360" s="14" t="str">
        <x:v>Complaint_Specialist_032</x:v>
      </x:c>
      <x:c r="C360" s="17" t="n">
        <x:v>66.327</x:v>
      </x:c>
      <x:c r="D360" s="17" t="n">
        <x:v>71.1868</x:v>
      </x:c>
      <x:c r="E360" s="17" t="n">
        <x:f>C360-D360</x:f>
        <x:v>-4.859800000000007</x:v>
      </x:c>
      <x:c r="F360" s="20" t="n">
        <x:f>IFERROR(E360/C360,0)</x:f>
        <x:v>-0.07327031224086733</x:v>
      </x:c>
      <x:c r="G360" s="23" t="n">
        <x:v>1189</x:v>
      </x:c>
      <x:c r="H360" s="23" t="n">
        <x:v>81</x:v>
      </x:c>
      <x:c r="I360" s="23"/>
      <x:c r="J360" s="20"/>
      <x:c r="K360" s="26" t="n">
        <x:v>1</x:v>
      </x:c>
      <x:c r="L360" s="26" t="n">
        <x:v>1</x:v>
      </x:c>
      <x:c r="M360" s="14" t="str">
        <x:f>IF(AND(K360=1,L360=1),"both_correct",IF(K360=1,"vanilla_only",IF(L360=1,"candidate_only","both_wrong")))</x:f>
        <x:v>both_correct</x:v>
      </x:c>
      <x:c r="N360" s="26" t="n">
        <x:v>0</x:v>
      </x:c>
      <x:c r="O360" s="26" t="n">
        <x:v>0</x:v>
      </x:c>
    </x:row>
    <x:row r="361" ht="21" customHeight="1">
      <x:c r="A361" s="14" t="str">
        <x:v>投诉助理工具调用</x:v>
      </x:c>
      <x:c r="B361" s="14" t="str">
        <x:v>Complaint_Specialist_033</x:v>
      </x:c>
      <x:c r="C361" s="17" t="n">
        <x:v>71.2143</x:v>
      </x:c>
      <x:c r="D361" s="17" t="n">
        <x:v>70.5463</x:v>
      </x:c>
      <x:c r="E361" s="17" t="n">
        <x:f>C361-D361</x:f>
        <x:v>0.6679999999999922</x:v>
      </x:c>
      <x:c r="F361" s="20" t="n">
        <x:f>IFERROR(E361/C361,0)</x:f>
        <x:v>0.009380138539590957</x:v>
      </x:c>
      <x:c r="G361" s="23" t="n">
        <x:v>1202</x:v>
      </x:c>
      <x:c r="H361" s="23" t="n">
        <x:v>94</x:v>
      </x:c>
      <x:c r="I361" s="23"/>
      <x:c r="J361" s="20"/>
      <x:c r="K361" s="26" t="n">
        <x:v>1</x:v>
      </x:c>
      <x:c r="L361" s="26" t="n">
        <x:v>1</x:v>
      </x:c>
      <x:c r="M361" s="14" t="str">
        <x:f>IF(AND(K361=1,L361=1),"both_correct",IF(K361=1,"vanilla_only",IF(L361=1,"candidate_only","both_wrong")))</x:f>
        <x:v>both_correct</x:v>
      </x:c>
      <x:c r="N361" s="26" t="n">
        <x:v>0</x:v>
      </x:c>
      <x:c r="O361" s="26" t="n">
        <x:v>0</x:v>
      </x:c>
    </x:row>
    <x:row r="362" ht="21" customHeight="1">
      <x:c r="A362" s="14" t="str">
        <x:v>投诉助理工具调用</x:v>
      </x:c>
      <x:c r="B362" s="14" t="str">
        <x:v>Complaint_Specialist_034</x:v>
      </x:c>
      <x:c r="C362" s="17" t="n">
        <x:v>91.5913</x:v>
      </x:c>
      <x:c r="D362" s="17" t="n">
        <x:v>70.4397</x:v>
      </x:c>
      <x:c r="E362" s="17" t="n">
        <x:f>C362-D362</x:f>
        <x:v>21.151600000000002</x:v>
      </x:c>
      <x:c r="F362" s="20" t="n">
        <x:f>IFERROR(E362/C362,0)</x:f>
        <x:v>0.2309345974999809</x:v>
      </x:c>
      <x:c r="G362" s="23" t="n">
        <x:v>1698</x:v>
      </x:c>
      <x:c r="H362" s="23" t="n">
        <x:v>134</x:v>
      </x:c>
      <x:c r="I362" s="23"/>
      <x:c r="J362" s="20"/>
      <x:c r="K362" s="26" t="n">
        <x:v>1</x:v>
      </x:c>
      <x:c r="L362" s="26" t="n">
        <x:v>1</x:v>
      </x:c>
      <x:c r="M362" s="14" t="str">
        <x:f>IF(AND(K362=1,L362=1),"both_correct",IF(K362=1,"vanilla_only",IF(L362=1,"candidate_only","both_wrong")))</x:f>
        <x:v>both_correct</x:v>
      </x:c>
      <x:c r="N362" s="26" t="n">
        <x:v>0</x:v>
      </x:c>
      <x:c r="O362" s="26" t="n">
        <x:v>0</x:v>
      </x:c>
    </x:row>
    <x:row r="363" ht="21" customHeight="1">
      <x:c r="A363" s="14" t="str">
        <x:v>投诉助理工具调用</x:v>
      </x:c>
      <x:c r="B363" s="14" t="str">
        <x:v>Complaint_Specialist_035</x:v>
      </x:c>
      <x:c r="C363" s="17" t="n">
        <x:v>105.592</x:v>
      </x:c>
      <x:c r="D363" s="17" t="n">
        <x:v>72.3497</x:v>
      </x:c>
      <x:c r="E363" s="17" t="n">
        <x:f>C363-D363</x:f>
        <x:v>33.2423</x:v>
      </x:c>
      <x:c r="F363" s="20" t="n">
        <x:f>IFERROR(E363/C363,0)</x:f>
        <x:v>0.3148183574513221</x:v>
      </x:c>
      <x:c r="G363" s="23" t="n">
        <x:v>1932</x:v>
      </x:c>
      <x:c r="H363" s="23" t="n">
        <x:v>134</x:v>
      </x:c>
      <x:c r="I363" s="23"/>
      <x:c r="J363" s="20"/>
      <x:c r="K363" s="26" t="n">
        <x:v>1</x:v>
      </x:c>
      <x:c r="L363" s="26" t="n">
        <x:v>1</x:v>
      </x:c>
      <x:c r="M363" s="14" t="str">
        <x:f>IF(AND(K363=1,L363=1),"both_correct",IF(K363=1,"vanilla_only",IF(L363=1,"candidate_only","both_wrong")))</x:f>
        <x:v>both_correct</x:v>
      </x:c>
      <x:c r="N363" s="26" t="n">
        <x:v>0</x:v>
      </x:c>
      <x:c r="O363" s="26" t="n">
        <x:v>0</x:v>
      </x:c>
    </x:row>
    <x:row r="364" ht="21" customHeight="1">
      <x:c r="A364" s="14" t="str">
        <x:v>投诉助理工具调用</x:v>
      </x:c>
      <x:c r="B364" s="14" t="str">
        <x:v>Complaint_Specialist_036</x:v>
      </x:c>
      <x:c r="C364" s="17" t="n">
        <x:v>69.4756</x:v>
      </x:c>
      <x:c r="D364" s="17" t="n">
        <x:v>66.4508</x:v>
      </x:c>
      <x:c r="E364" s="17" t="n">
        <x:f>C364-D364</x:f>
        <x:v>3.024799999999999</x:v>
      </x:c>
      <x:c r="F364" s="20" t="n">
        <x:f>IFERROR(E364/C364,0)</x:f>
        <x:v>0.043537587296835135</x:v>
      </x:c>
      <x:c r="G364" s="23" t="n">
        <x:v>1281</x:v>
      </x:c>
      <x:c r="H364" s="23" t="n">
        <x:v>94</x:v>
      </x:c>
      <x:c r="I364" s="23"/>
      <x:c r="J364" s="20"/>
      <x:c r="K364" s="26" t="n">
        <x:v>1</x:v>
      </x:c>
      <x:c r="L364" s="26" t="n">
        <x:v>1</x:v>
      </x:c>
      <x:c r="M364" s="14" t="str">
        <x:f>IF(AND(K364=1,L364=1),"both_correct",IF(K364=1,"vanilla_only",IF(L364=1,"candidate_only","both_wrong")))</x:f>
        <x:v>both_correct</x:v>
      </x:c>
      <x:c r="N364" s="26" t="n">
        <x:v>0</x:v>
      </x:c>
      <x:c r="O364" s="26" t="n">
        <x:v>0</x:v>
      </x:c>
    </x:row>
    <x:row r="365" ht="21" customHeight="1">
      <x:c r="A365" s="14" t="str">
        <x:v>投诉助理工具调用</x:v>
      </x:c>
      <x:c r="B365" s="14" t="str">
        <x:v>Complaint_Specialist_037</x:v>
      </x:c>
      <x:c r="C365" s="17" t="n">
        <x:v>78.2193</x:v>
      </x:c>
      <x:c r="D365" s="17" t="n">
        <x:v>64.2945</x:v>
      </x:c>
      <x:c r="E365" s="17" t="n">
        <x:f>C365-D365</x:f>
        <x:v>13.924800000000005</x:v>
      </x:c>
      <x:c r="F365" s="20" t="n">
        <x:f>IFERROR(E365/C365,0)</x:f>
        <x:v>0.1780225596496006</x:v>
      </x:c>
      <x:c r="G365" s="23" t="n">
        <x:v>1492</x:v>
      </x:c>
      <x:c r="H365" s="23" t="n">
        <x:v>94</x:v>
      </x:c>
      <x:c r="I365" s="23"/>
      <x:c r="J365" s="20"/>
      <x:c r="K365" s="26" t="n">
        <x:v>1</x:v>
      </x:c>
      <x:c r="L365" s="26" t="n">
        <x:v>1</x:v>
      </x:c>
      <x:c r="M365" s="14" t="str">
        <x:f>IF(AND(K365=1,L365=1),"both_correct",IF(K365=1,"vanilla_only",IF(L365=1,"candidate_only","both_wrong")))</x:f>
        <x:v>both_correct</x:v>
      </x:c>
      <x:c r="N365" s="26" t="n">
        <x:v>0</x:v>
      </x:c>
      <x:c r="O365" s="26" t="n">
        <x:v>0</x:v>
      </x:c>
    </x:row>
    <x:row r="366" ht="21" customHeight="1">
      <x:c r="A366" s="14" t="str">
        <x:v>投诉助理工具调用</x:v>
      </x:c>
      <x:c r="B366" s="14" t="str">
        <x:v>Complaint_Specialist_038</x:v>
      </x:c>
      <x:c r="C366" s="17" t="n">
        <x:v>53.8311</x:v>
      </x:c>
      <x:c r="D366" s="17" t="n">
        <x:v>63.9684</x:v>
      </x:c>
      <x:c r="E366" s="17" t="n">
        <x:f>C366-D366</x:f>
        <x:v>-10.137300000000003</x:v>
      </x:c>
      <x:c r="F366" s="20" t="n">
        <x:f>IFERROR(E366/C366,0)</x:f>
        <x:v>-0.18831679085138522</x:v>
      </x:c>
      <x:c r="G366" s="23" t="n">
        <x:v>1011</x:v>
      </x:c>
      <x:c r="H366" s="23" t="n">
        <x:v>104</x:v>
      </x:c>
      <x:c r="I366" s="23"/>
      <x:c r="J366" s="20"/>
      <x:c r="K366" s="26" t="n">
        <x:v>1</x:v>
      </x:c>
      <x:c r="L366" s="26" t="n">
        <x:v>1</x:v>
      </x:c>
      <x:c r="M366" s="14" t="str">
        <x:f>IF(AND(K366=1,L366=1),"both_correct",IF(K366=1,"vanilla_only",IF(L366=1,"candidate_only","both_wrong")))</x:f>
        <x:v>both_correct</x:v>
      </x:c>
      <x:c r="N366" s="26" t="n">
        <x:v>0</x:v>
      </x:c>
      <x:c r="O366" s="26" t="n">
        <x:v>0</x:v>
      </x:c>
    </x:row>
    <x:row r="367" ht="21" customHeight="1">
      <x:c r="A367" s="14" t="str">
        <x:v>投诉助理工具调用</x:v>
      </x:c>
      <x:c r="B367" s="14" t="str">
        <x:v>TC00000039</x:v>
      </x:c>
      <x:c r="C367" s="17" t="n">
        <x:v>27.1033</x:v>
      </x:c>
      <x:c r="D367" s="17" t="n">
        <x:v>55.9049</x:v>
      </x:c>
      <x:c r="E367" s="17" t="n">
        <x:f>C367-D367</x:f>
        <x:v>-28.801599999999997</x:v>
      </x:c>
      <x:c r="F367" s="20" t="n">
        <x:f>IFERROR(E367/C367,0)</x:f>
        <x:v>-1.0626602664620175</x:v>
      </x:c>
      <x:c r="G367" s="23" t="n">
        <x:v>1399</x:v>
      </x:c>
      <x:c r="H367" s="23" t="n">
        <x:v>114</x:v>
      </x:c>
      <x:c r="I367" s="23"/>
      <x:c r="J367" s="20"/>
      <x:c r="K367" s="26" t="n">
        <x:v>1</x:v>
      </x:c>
      <x:c r="L367" s="26" t="n">
        <x:v>1</x:v>
      </x:c>
      <x:c r="M367" s="14" t="str">
        <x:f>IF(AND(K367=1,L367=1),"both_correct",IF(K367=1,"vanilla_only",IF(L367=1,"candidate_only","both_wrong")))</x:f>
        <x:v>both_correct</x:v>
      </x:c>
      <x:c r="N367" s="26" t="n">
        <x:v>0</x:v>
      </x:c>
      <x:c r="O367" s="26" t="n">
        <x:v>0</x:v>
      </x:c>
    </x:row>
    <x:row r="368" ht="21" customHeight="1">
      <x:c r="A368" s="14" t="str">
        <x:v>NetQAD E2E 规划模块</x:v>
      </x:c>
      <x:c r="B368" s="14" t="str">
        <x:v>TC00000001</x:v>
      </x:c>
      <x:c r="C368" s="17" t="n">
        <x:v>132.9865</x:v>
      </x:c>
      <x:c r="D368" s="17" t="n">
        <x:v>141.4138</x:v>
      </x:c>
      <x:c r="E368" s="17" t="n">
        <x:f>C368-D368</x:f>
        <x:v>-8.427300000000002</x:v>
      </x:c>
      <x:c r="F368" s="20" t="n">
        <x:f>IFERROR(E368/C368,0)</x:f>
        <x:v>-0.06336959014636825</x:v>
      </x:c>
      <x:c r="G368" s="23" t="n">
        <x:v>2201</x:v>
      </x:c>
      <x:c r="H368" s="23" t="n">
        <x:v>184</x:v>
      </x:c>
      <x:c r="I368" s="23"/>
      <x:c r="J368" s="20"/>
      <x:c r="K368" s="26" t="n">
        <x:v>1</x:v>
      </x:c>
      <x:c r="L368" s="26" t="n">
        <x:v>1</x:v>
      </x:c>
      <x:c r="M368" s="14" t="str">
        <x:f>IF(AND(K368=1,L368=1),"both_correct",IF(K368=1,"vanilla_only",IF(L368=1,"candidate_only","both_wrong")))</x:f>
        <x:v>both_correct</x:v>
      </x:c>
      <x:c r="N368" s="26" t="n">
        <x:v>0</x:v>
      </x:c>
      <x:c r="O368" s="26" t="n">
        <x:v>0</x:v>
      </x:c>
    </x:row>
    <x:row r="369" ht="21" customHeight="1">
      <x:c r="A369" s="14" t="str">
        <x:v>NetQAD E2E 规划模块</x:v>
      </x:c>
      <x:c r="B369" s="14" t="str">
        <x:v>TC00000002</x:v>
      </x:c>
      <x:c r="C369" s="17" t="n">
        <x:v>81.0881</x:v>
      </x:c>
      <x:c r="D369" s="17" t="n">
        <x:v>99.5798</x:v>
      </x:c>
      <x:c r="E369" s="17" t="n">
        <x:f>C369-D369</x:f>
        <x:v>-18.49170000000001</x:v>
      </x:c>
      <x:c r="F369" s="20" t="n">
        <x:f>IFERROR(E369/C369,0)</x:f>
        <x:v>-0.22804455894268097</x:v>
      </x:c>
      <x:c r="G369" s="23" t="n">
        <x:v>1319</x:v>
      </x:c>
      <x:c r="H369" s="23" t="n">
        <x:v>328</x:v>
      </x:c>
      <x:c r="I369" s="23"/>
      <x:c r="J369" s="20"/>
      <x:c r="K369" s="26" t="n">
        <x:v>1</x:v>
      </x:c>
      <x:c r="L369" s="26" t="n">
        <x:v>1</x:v>
      </x:c>
      <x:c r="M369" s="14" t="str">
        <x:f>IF(AND(K369=1,L369=1),"both_correct",IF(K369=1,"vanilla_only",IF(L369=1,"candidate_only","both_wrong")))</x:f>
        <x:v>both_correct</x:v>
      </x:c>
      <x:c r="N369" s="26" t="n">
        <x:v>0</x:v>
      </x:c>
      <x:c r="O369" s="26" t="n">
        <x:v>0</x:v>
      </x:c>
    </x:row>
    <x:row r="370" ht="21" customHeight="1">
      <x:c r="A370" s="14" t="str">
        <x:v>NetQAD E2E 规划模块</x:v>
      </x:c>
      <x:c r="B370" s="14" t="str">
        <x:v>TC00000003</x:v>
      </x:c>
      <x:c r="C370" s="17" t="n">
        <x:v>97.317</x:v>
      </x:c>
      <x:c r="D370" s="17" t="n">
        <x:v>92.4855</x:v>
      </x:c>
      <x:c r="E370" s="17" t="n">
        <x:f>C370-D370</x:f>
        <x:v>4.831499999999991</x:v>
      </x:c>
      <x:c r="F370" s="20" t="n">
        <x:f>IFERROR(E370/C370,0)</x:f>
        <x:v>0.04964702980979676</x:v>
      </x:c>
      <x:c r="G370" s="23" t="n">
        <x:v>1668</x:v>
      </x:c>
      <x:c r="H370" s="23" t="n">
        <x:v>133</x:v>
      </x:c>
      <x:c r="I370" s="23"/>
      <x:c r="J370" s="20"/>
      <x:c r="K370" s="26" t="n">
        <x:v>1</x:v>
      </x:c>
      <x:c r="L370" s="26" t="n">
        <x:v>1</x:v>
      </x:c>
      <x:c r="M370" s="14" t="str">
        <x:f>IF(AND(K370=1,L370=1),"both_correct",IF(K370=1,"vanilla_only",IF(L370=1,"candidate_only","both_wrong")))</x:f>
        <x:v>both_correct</x:v>
      </x:c>
      <x:c r="N370" s="26" t="n">
        <x:v>0</x:v>
      </x:c>
      <x:c r="O370" s="26" t="n">
        <x:v>0</x:v>
      </x:c>
    </x:row>
    <x:row r="371" ht="21" customHeight="1">
      <x:c r="A371" s="14" t="str">
        <x:v>NetQAD E2E 规划模块</x:v>
      </x:c>
      <x:c r="B371" s="14" t="str">
        <x:v>TC00000004</x:v>
      </x:c>
      <x:c r="C371" s="17" t="n">
        <x:v>108.1504</x:v>
      </x:c>
      <x:c r="D371" s="17" t="n">
        <x:v>111.9079</x:v>
      </x:c>
      <x:c r="E371" s="17" t="n">
        <x:f>C371-D371</x:f>
        <x:v>-3.757499999999993</x:v>
      </x:c>
      <x:c r="F371" s="20" t="n">
        <x:f>IFERROR(E371/C371,0)</x:f>
        <x:v>-0.034743283427523086</x:v>
      </x:c>
      <x:c r="G371" s="23" t="n">
        <x:v>1842</x:v>
      </x:c>
      <x:c r="H371" s="23" t="n">
        <x:v>225</x:v>
      </x:c>
      <x:c r="I371" s="23"/>
      <x:c r="J371" s="20"/>
      <x:c r="K371" s="26" t="n">
        <x:v>1</x:v>
      </x:c>
      <x:c r="L371" s="26" t="n">
        <x:v>1</x:v>
      </x:c>
      <x:c r="M371" s="14" t="str">
        <x:f>IF(AND(K371=1,L371=1),"both_correct",IF(K371=1,"vanilla_only",IF(L371=1,"candidate_only","both_wrong")))</x:f>
        <x:v>both_correct</x:v>
      </x:c>
      <x:c r="N371" s="26" t="n">
        <x:v>0</x:v>
      </x:c>
      <x:c r="O371" s="26" t="n">
        <x:v>0</x:v>
      </x:c>
    </x:row>
    <x:row r="372" ht="21" customHeight="1">
      <x:c r="A372" s="14" t="str">
        <x:v>NetQAD E2E 规划模块</x:v>
      </x:c>
      <x:c r="B372" s="14" t="str">
        <x:v>TC00000005</x:v>
      </x:c>
      <x:c r="C372" s="17" t="n">
        <x:v>124.5647</x:v>
      </x:c>
      <x:c r="D372" s="17" t="n">
        <x:v>125.2836</x:v>
      </x:c>
      <x:c r="E372" s="17" t="n">
        <x:f>C372-D372</x:f>
        <x:v>-0.718900000000005</x:v>
      </x:c>
      <x:c r="F372" s="20" t="n">
        <x:f>IFERROR(E372/C372,0)</x:f>
        <x:v>-0.005771297968043956</x:v>
      </x:c>
      <x:c r="G372" s="23" t="n">
        <x:v>2123</x:v>
      </x:c>
      <x:c r="H372" s="23" t="n">
        <x:v>180</x:v>
      </x:c>
      <x:c r="I372" s="23"/>
      <x:c r="J372" s="20"/>
      <x:c r="K372" s="26" t="n">
        <x:v>1</x:v>
      </x:c>
      <x:c r="L372" s="26" t="n">
        <x:v>1</x:v>
      </x:c>
      <x:c r="M372" s="14" t="str">
        <x:f>IF(AND(K372=1,L372=1),"both_correct",IF(K372=1,"vanilla_only",IF(L372=1,"candidate_only","both_wrong")))</x:f>
        <x:v>both_correct</x:v>
      </x:c>
      <x:c r="N372" s="26" t="n">
        <x:v>0</x:v>
      </x:c>
      <x:c r="O372" s="26" t="n">
        <x:v>0</x:v>
      </x:c>
    </x:row>
    <x:row r="373" ht="21" customHeight="1">
      <x:c r="A373" s="14" t="str">
        <x:v>NetQAD E2E 规划模块</x:v>
      </x:c>
      <x:c r="B373" s="14" t="str">
        <x:v>TC00000006</x:v>
      </x:c>
      <x:c r="C373" s="17" t="n">
        <x:v>92.6349</x:v>
      </x:c>
      <x:c r="D373" s="17" t="n">
        <x:v>103.7308</x:v>
      </x:c>
      <x:c r="E373" s="17" t="n">
        <x:f>C373-D373</x:f>
        <x:v>-11.0959</x:v>
      </x:c>
      <x:c r="F373" s="20" t="n">
        <x:f>IFERROR(E373/C373,0)</x:f>
        <x:v>-0.1197809896701999</x:v>
      </x:c>
      <x:c r="G373" s="23" t="n">
        <x:v>1569</x:v>
      </x:c>
      <x:c r="H373" s="23" t="n">
        <x:v>83</x:v>
      </x:c>
      <x:c r="I373" s="23"/>
      <x:c r="J373" s="20"/>
      <x:c r="K373" s="26" t="n">
        <x:v>1</x:v>
      </x:c>
      <x:c r="L373" s="26" t="n">
        <x:v>1</x:v>
      </x:c>
      <x:c r="M373" s="14" t="str">
        <x:f>IF(AND(K373=1,L373=1),"both_correct",IF(K373=1,"vanilla_only",IF(L373=1,"candidate_only","both_wrong")))</x:f>
        <x:v>both_correct</x:v>
      </x:c>
      <x:c r="N373" s="26" t="n">
        <x:v>0</x:v>
      </x:c>
      <x:c r="O373" s="26" t="n">
        <x:v>0</x:v>
      </x:c>
    </x:row>
    <x:row r="374" ht="21" customHeight="1">
      <x:c r="A374" s="14" t="str">
        <x:v>NetQAD E2E 规划模块</x:v>
      </x:c>
      <x:c r="B374" s="14" t="str">
        <x:v>TC00000007</x:v>
      </x:c>
      <x:c r="C374" s="17" t="n">
        <x:v>105.0509</x:v>
      </x:c>
      <x:c r="D374" s="17" t="n">
        <x:v>112.9485</x:v>
      </x:c>
      <x:c r="E374" s="17" t="n">
        <x:f>C374-D374</x:f>
        <x:v>-7.897599999999997</x:v>
      </x:c>
      <x:c r="F374" s="20" t="n">
        <x:f>IFERROR(E374/C374,0)</x:f>
        <x:v>-0.07517879427972532</x:v>
      </x:c>
      <x:c r="G374" s="23" t="n">
        <x:v>1739</x:v>
      </x:c>
      <x:c r="H374" s="23" t="n">
        <x:v>176</x:v>
      </x:c>
      <x:c r="I374" s="23"/>
      <x:c r="J374" s="20"/>
      <x:c r="K374" s="26" t="n">
        <x:v>1</x:v>
      </x:c>
      <x:c r="L374" s="26" t="n">
        <x:v>1</x:v>
      </x:c>
      <x:c r="M374" s="14" t="str">
        <x:f>IF(AND(K374=1,L374=1),"both_correct",IF(K374=1,"vanilla_only",IF(L374=1,"candidate_only","both_wrong")))</x:f>
        <x:v>both_correct</x:v>
      </x:c>
      <x:c r="N374" s="26" t="n">
        <x:v>0</x:v>
      </x:c>
      <x:c r="O374" s="26" t="n">
        <x:v>0</x:v>
      </x:c>
    </x:row>
    <x:row r="375" ht="21" customHeight="1">
      <x:c r="A375" s="14" t="str">
        <x:v>NetQAD E2E 规划模块</x:v>
      </x:c>
      <x:c r="B375" s="14" t="str">
        <x:v>TC00000008</x:v>
      </x:c>
      <x:c r="C375" s="17" t="n">
        <x:v>95.6073</x:v>
      </x:c>
      <x:c r="D375" s="17" t="n">
        <x:v>105.7818</x:v>
      </x:c>
      <x:c r="E375" s="17" t="n">
        <x:f>C375-D375</x:f>
        <x:v>-10.174500000000009</x:v>
      </x:c>
      <x:c r="F375" s="20" t="n">
        <x:f>IFERROR(E375/C375,0)</x:f>
        <x:v>-0.10641969807744817</x:v>
      </x:c>
      <x:c r="G375" s="23" t="n">
        <x:v>1645</x:v>
      </x:c>
      <x:c r="H375" s="23" t="n">
        <x:v>131</x:v>
      </x:c>
      <x:c r="I375" s="23"/>
      <x:c r="J375" s="20"/>
      <x:c r="K375" s="26" t="n">
        <x:v>1</x:v>
      </x:c>
      <x:c r="L375" s="26" t="n">
        <x:v>1</x:v>
      </x:c>
      <x:c r="M375" s="14" t="str">
        <x:f>IF(AND(K375=1,L375=1),"both_correct",IF(K375=1,"vanilla_only",IF(L375=1,"candidate_only","both_wrong")))</x:f>
        <x:v>both_correct</x:v>
      </x:c>
      <x:c r="N375" s="26" t="n">
        <x:v>0</x:v>
      </x:c>
      <x:c r="O375" s="26" t="n">
        <x:v>0</x:v>
      </x:c>
    </x:row>
    <x:row r="376" ht="21" customHeight="1">
      <x:c r="A376" s="14" t="str">
        <x:v>NetQAD E2E 规划模块</x:v>
      </x:c>
      <x:c r="B376" s="14" t="str">
        <x:v>TC00000009</x:v>
      </x:c>
      <x:c r="C376" s="17" t="n">
        <x:v>117.607</x:v>
      </x:c>
      <x:c r="D376" s="17" t="n">
        <x:v>117.1726</x:v>
      </x:c>
      <x:c r="E376" s="17" t="n">
        <x:f>C376-D376</x:f>
        <x:v>0.43439999999999657</x:v>
      </x:c>
      <x:c r="F376" s="20" t="n">
        <x:f>IFERROR(E376/C376,0)</x:f>
        <x:v>0.003693657690443567</x:v>
      </x:c>
      <x:c r="G376" s="23" t="n">
        <x:v>1940</x:v>
      </x:c>
      <x:c r="H376" s="23" t="n">
        <x:v>168</x:v>
      </x:c>
      <x:c r="I376" s="23"/>
      <x:c r="J376" s="20"/>
      <x:c r="K376" s="26" t="n">
        <x:v>1</x:v>
      </x:c>
      <x:c r="L376" s="26" t="n">
        <x:v>1</x:v>
      </x:c>
      <x:c r="M376" s="14" t="str">
        <x:f>IF(AND(K376=1,L376=1),"both_correct",IF(K376=1,"vanilla_only",IF(L376=1,"candidate_only","both_wrong")))</x:f>
        <x:v>both_correct</x:v>
      </x:c>
      <x:c r="N376" s="26" t="n">
        <x:v>0</x:v>
      </x:c>
      <x:c r="O376" s="26" t="n">
        <x:v>0</x:v>
      </x:c>
    </x:row>
    <x:row r="377" ht="21" customHeight="1">
      <x:c r="A377" s="14" t="str">
        <x:v>NetQAD E2E 规划模块</x:v>
      </x:c>
      <x:c r="B377" s="14" t="str">
        <x:v>TC00000010</x:v>
      </x:c>
      <x:c r="C377" s="17" t="n">
        <x:v>130.5185</x:v>
      </x:c>
      <x:c r="D377" s="17" t="n">
        <x:v>137.6165</x:v>
      </x:c>
      <x:c r="E377" s="17" t="n">
        <x:f>C377-D377</x:f>
        <x:v>-7.098000000000013</x:v>
      </x:c>
      <x:c r="F377" s="20" t="n">
        <x:f>IFERROR(E377/C377,0)</x:f>
        <x:v>-0.05438309511678432</x:v>
      </x:c>
      <x:c r="G377" s="23" t="n">
        <x:v>2051</x:v>
      </x:c>
      <x:c r="H377" s="23" t="n">
        <x:v>181</x:v>
      </x:c>
      <x:c r="I377" s="23"/>
      <x:c r="J377" s="20"/>
      <x:c r="K377" s="26" t="n">
        <x:v>1</x:v>
      </x:c>
      <x:c r="L377" s="26" t="n">
        <x:v>1</x:v>
      </x:c>
      <x:c r="M377" s="14" t="str">
        <x:f>IF(AND(K377=1,L377=1),"both_correct",IF(K377=1,"vanilla_only",IF(L377=1,"candidate_only","both_wrong")))</x:f>
        <x:v>both_correct</x:v>
      </x:c>
      <x:c r="N377" s="26" t="n">
        <x:v>0</x:v>
      </x:c>
      <x:c r="O377" s="26" t="n">
        <x:v>0</x:v>
      </x:c>
    </x:row>
    <x:row r="378" ht="21" customHeight="1">
      <x:c r="A378" s="14" t="str">
        <x:v>NetQAD E2E 规划模块</x:v>
      </x:c>
      <x:c r="B378" s="14" t="str">
        <x:v>TC00000011</x:v>
      </x:c>
      <x:c r="C378" s="17" t="n">
        <x:v>103.7452</x:v>
      </x:c>
      <x:c r="D378" s="17" t="n">
        <x:v>119.505</x:v>
      </x:c>
      <x:c r="E378" s="17" t="n">
        <x:f>C378-D378</x:f>
        <x:v>-15.759799999999998</x:v>
      </x:c>
      <x:c r="F378" s="20" t="n">
        <x:f>IFERROR(E378/C378,0)</x:f>
        <x:v>-0.1519087148128299</x:v>
      </x:c>
      <x:c r="G378" s="23" t="n">
        <x:v>1775</x:v>
      </x:c>
      <x:c r="H378" s="23" t="n">
        <x:v>242</x:v>
      </x:c>
      <x:c r="I378" s="23"/>
      <x:c r="J378" s="20"/>
      <x:c r="K378" s="26" t="n">
        <x:v>1</x:v>
      </x:c>
      <x:c r="L378" s="26" t="n">
        <x:v>1</x:v>
      </x:c>
      <x:c r="M378" s="14" t="str">
        <x:f>IF(AND(K378=1,L378=1),"both_correct",IF(K378=1,"vanilla_only",IF(L378=1,"candidate_only","both_wrong")))</x:f>
        <x:v>both_correct</x:v>
      </x:c>
      <x:c r="N378" s="26" t="n">
        <x:v>0</x:v>
      </x:c>
      <x:c r="O378" s="26" t="n">
        <x:v>0</x:v>
      </x:c>
    </x:row>
    <x:row r="379" ht="21" customHeight="1">
      <x:c r="A379" s="14" t="str">
        <x:v>NetQAD E2E 规划模块</x:v>
      </x:c>
      <x:c r="B379" s="14" t="str">
        <x:v>TC00000012</x:v>
      </x:c>
      <x:c r="C379" s="17" t="n">
        <x:v>160.7675</x:v>
      </x:c>
      <x:c r="D379" s="17" t="n">
        <x:v>143.5506</x:v>
      </x:c>
      <x:c r="E379" s="17" t="n">
        <x:f>C379-D379</x:f>
        <x:v>17.21690000000001</x:v>
      </x:c>
      <x:c r="F379" s="20" t="n">
        <x:f>IFERROR(E379/C379,0)</x:f>
        <x:v>0.10709191845366761</x:v>
      </x:c>
      <x:c r="G379" s="23" t="n">
        <x:v>2814</x:v>
      </x:c>
      <x:c r="H379" s="23" t="n">
        <x:v>364</x:v>
      </x:c>
      <x:c r="I379" s="23"/>
      <x:c r="J379" s="20"/>
      <x:c r="K379" s="26" t="n">
        <x:v>1</x:v>
      </x:c>
      <x:c r="L379" s="26" t="n">
        <x:v>1</x:v>
      </x:c>
      <x:c r="M379" s="14" t="str">
        <x:f>IF(AND(K379=1,L379=1),"both_correct",IF(K379=1,"vanilla_only",IF(L379=1,"candidate_only","both_wrong")))</x:f>
        <x:v>both_correct</x:v>
      </x:c>
      <x:c r="N379" s="26" t="n">
        <x:v>0</x:v>
      </x:c>
      <x:c r="O379" s="26" t="n">
        <x:v>0</x:v>
      </x:c>
    </x:row>
    <x:row r="380" ht="21" customHeight="1">
      <x:c r="A380" s="14" t="str">
        <x:v>NetQAD E2E 规划模块</x:v>
      </x:c>
      <x:c r="B380" s="14" t="str">
        <x:v>TC00000013</x:v>
      </x:c>
      <x:c r="C380" s="17" t="n">
        <x:v>79.694</x:v>
      </x:c>
      <x:c r="D380" s="17" t="n">
        <x:v>88.3956</x:v>
      </x:c>
      <x:c r="E380" s="17" t="n">
        <x:f>C380-D380</x:f>
        <x:v>-8.7016</x:v>
      </x:c>
      <x:c r="F380" s="20" t="n">
        <x:f>IFERROR(E380/C380,0)</x:f>
        <x:v>-0.10918764273345545</x:v>
      </x:c>
      <x:c r="G380" s="23" t="n">
        <x:v>1312</x:v>
      </x:c>
      <x:c r="H380" s="23" t="n">
        <x:v>122</x:v>
      </x:c>
      <x:c r="I380" s="23"/>
      <x:c r="J380" s="20"/>
      <x:c r="K380" s="26" t="n">
        <x:v>1</x:v>
      </x:c>
      <x:c r="L380" s="26" t="n">
        <x:v>1</x:v>
      </x:c>
      <x:c r="M380" s="14" t="str">
        <x:f>IF(AND(K380=1,L380=1),"both_correct",IF(K380=1,"vanilla_only",IF(L380=1,"candidate_only","both_wrong")))</x:f>
        <x:v>both_correct</x:v>
      </x:c>
      <x:c r="N380" s="26" t="n">
        <x:v>0</x:v>
      </x:c>
      <x:c r="O380" s="26" t="n">
        <x:v>0</x:v>
      </x:c>
    </x:row>
    <x:row r="381" ht="21" customHeight="1">
      <x:c r="A381" s="14" t="str">
        <x:v>NetQAD E2E 规划模块</x:v>
      </x:c>
      <x:c r="B381" s="14" t="str">
        <x:v>TC00000014</x:v>
      </x:c>
      <x:c r="C381" s="17" t="n">
        <x:v>173.4216</x:v>
      </x:c>
      <x:c r="D381" s="17" t="n">
        <x:v>144.0582</x:v>
      </x:c>
      <x:c r="E381" s="17" t="n">
        <x:f>C381-D381</x:f>
        <x:v>29.363400000000013</x:v>
      </x:c>
      <x:c r="F381" s="20" t="n">
        <x:f>IFERROR(E381/C381,0)</x:f>
        <x:v>0.16931800882935005</x:v>
      </x:c>
      <x:c r="G381" s="23" t="n">
        <x:v>3170</x:v>
      </x:c>
      <x:c r="H381" s="23" t="n">
        <x:v>301</x:v>
      </x:c>
      <x:c r="I381" s="23"/>
      <x:c r="J381" s="20"/>
      <x:c r="K381" s="26" t="n">
        <x:v>1</x:v>
      </x:c>
      <x:c r="L381" s="26" t="n">
        <x:v>1</x:v>
      </x:c>
      <x:c r="M381" s="14" t="str">
        <x:f>IF(AND(K381=1,L381=1),"both_correct",IF(K381=1,"vanilla_only",IF(L381=1,"candidate_only","both_wrong")))</x:f>
        <x:v>both_correct</x:v>
      </x:c>
      <x:c r="N381" s="26" t="n">
        <x:v>0</x:v>
      </x:c>
      <x:c r="O381" s="26" t="n">
        <x:v>0</x:v>
      </x:c>
    </x:row>
    <x:row r="382" ht="21" customHeight="1">
      <x:c r="A382" s="14" t="str">
        <x:v>NetQAD E2E 规划模块</x:v>
      </x:c>
      <x:c r="B382" s="14" t="str">
        <x:v>TC00000015</x:v>
      </x:c>
      <x:c r="C382" s="17" t="n">
        <x:v>124.4927</x:v>
      </x:c>
      <x:c r="D382" s="17" t="n">
        <x:v>136.9035</x:v>
      </x:c>
      <x:c r="E382" s="17" t="n">
        <x:f>C382-D382</x:f>
        <x:v>-12.410800000000009</x:v>
      </x:c>
      <x:c r="F382" s="20" t="n">
        <x:f>IFERROR(E382/C382,0)</x:f>
        <x:v>-0.09969098589716513</x:v>
      </x:c>
      <x:c r="G382" s="23" t="n">
        <x:v>2078</x:v>
      </x:c>
      <x:c r="H382" s="23" t="n">
        <x:v>228</x:v>
      </x:c>
      <x:c r="I382" s="23"/>
      <x:c r="J382" s="20"/>
      <x:c r="K382" s="26" t="n">
        <x:v>1</x:v>
      </x:c>
      <x:c r="L382" s="26" t="n">
        <x:v>0</x:v>
      </x:c>
      <x:c r="M382" s="14" t="str">
        <x:f>IF(AND(K382=1,L382=1),"both_correct",IF(K382=1,"vanilla_only",IF(L382=1,"candidate_only","both_wrong")))</x:f>
        <x:v>vanilla_only</x:v>
      </x:c>
      <x:c r="N382" s="26" t="n">
        <x:v>0</x:v>
      </x:c>
      <x:c r="O382" s="26" t="n">
        <x:v>0</x:v>
      </x:c>
    </x:row>
    <x:row r="383" ht="21" customHeight="1">
      <x:c r="A383" s="14" t="str">
        <x:v>NetQAD E2E 规划模块</x:v>
      </x:c>
      <x:c r="B383" s="14" t="str">
        <x:v>TC00000016</x:v>
      </x:c>
      <x:c r="C383" s="17" t="n">
        <x:v>149.9578</x:v>
      </x:c>
      <x:c r="D383" s="17" t="n">
        <x:v>145.6815</x:v>
      </x:c>
      <x:c r="E383" s="17" t="n">
        <x:f>C383-D383</x:f>
        <x:v>4.276299999999992</x:v>
      </x:c>
      <x:c r="F383" s="20" t="n">
        <x:f>IFERROR(E383/C383,0)</x:f>
        <x:v>0.02851668936194044</x:v>
      </x:c>
      <x:c r="G383" s="23" t="n">
        <x:v>2451</x:v>
      </x:c>
      <x:c r="H383" s="23" t="n">
        <x:v>328</x:v>
      </x:c>
      <x:c r="I383" s="23"/>
      <x:c r="J383" s="20"/>
      <x:c r="K383" s="26" t="n">
        <x:v>1</x:v>
      </x:c>
      <x:c r="L383" s="26" t="n">
        <x:v>0</x:v>
      </x:c>
      <x:c r="M383" s="14" t="str">
        <x:f>IF(AND(K383=1,L383=1),"both_correct",IF(K383=1,"vanilla_only",IF(L383=1,"candidate_only","both_wrong")))</x:f>
        <x:v>vanilla_only</x:v>
      </x:c>
      <x:c r="N383" s="26" t="n">
        <x:v>0</x:v>
      </x:c>
      <x:c r="O383" s="26" t="n">
        <x:v>0</x:v>
      </x:c>
    </x:row>
    <x:row r="384" ht="21" customHeight="1">
      <x:c r="A384" s="14" t="str">
        <x:v>NetQAD E2E 规划模块</x:v>
      </x:c>
      <x:c r="B384" s="14" t="str">
        <x:v>TC00000017</x:v>
      </x:c>
      <x:c r="C384" s="17" t="n">
        <x:v>117.4887</x:v>
      </x:c>
      <x:c r="D384" s="17" t="n">
        <x:v>103.5759</x:v>
      </x:c>
      <x:c r="E384" s="17" t="n">
        <x:f>C384-D384</x:f>
        <x:v>13.91279999999999</x:v>
      </x:c>
      <x:c r="F384" s="20" t="n">
        <x:f>IFERROR(E384/C384,0)</x:f>
        <x:v>0.11841819681382117</x:v>
      </x:c>
      <x:c r="G384" s="23" t="n">
        <x:v>2030</x:v>
      </x:c>
      <x:c r="H384" s="23" t="n">
        <x:v>208</x:v>
      </x:c>
      <x:c r="I384" s="23"/>
      <x:c r="J384" s="20"/>
      <x:c r="K384" s="26" t="n">
        <x:v>1</x:v>
      </x:c>
      <x:c r="L384" s="26" t="n">
        <x:v>1</x:v>
      </x:c>
      <x:c r="M384" s="14" t="str">
        <x:f>IF(AND(K384=1,L384=1),"both_correct",IF(K384=1,"vanilla_only",IF(L384=1,"candidate_only","both_wrong")))</x:f>
        <x:v>both_correct</x:v>
      </x:c>
      <x:c r="N384" s="26" t="n">
        <x:v>0</x:v>
      </x:c>
      <x:c r="O384" s="26" t="n">
        <x:v>0</x:v>
      </x:c>
    </x:row>
    <x:row r="385" ht="21" customHeight="1">
      <x:c r="A385" s="14" t="str">
        <x:v>NetQAD E2E 规划模块</x:v>
      </x:c>
      <x:c r="B385" s="14" t="str">
        <x:v>TC00000018</x:v>
      </x:c>
      <x:c r="C385" s="17" t="n">
        <x:v>126.105</x:v>
      </x:c>
      <x:c r="D385" s="17" t="n">
        <x:v>140.346</x:v>
      </x:c>
      <x:c r="E385" s="17" t="n">
        <x:f>C385-D385</x:f>
        <x:v>-14.241</x:v>
      </x:c>
      <x:c r="F385" s="20" t="n">
        <x:f>IFERROR(E385/C385,0)</x:f>
        <x:v>-0.11292970143927679</x:v>
      </x:c>
      <x:c r="G385" s="23" t="n">
        <x:v>2201</x:v>
      </x:c>
      <x:c r="H385" s="23" t="n">
        <x:v>346</x:v>
      </x:c>
      <x:c r="I385" s="23"/>
      <x:c r="J385" s="20"/>
      <x:c r="K385" s="26" t="n">
        <x:v>1</x:v>
      </x:c>
      <x:c r="L385" s="26" t="n">
        <x:v>1</x:v>
      </x:c>
      <x:c r="M385" s="14" t="str">
        <x:f>IF(AND(K385=1,L385=1),"both_correct",IF(K385=1,"vanilla_only",IF(L385=1,"candidate_only","both_wrong")))</x:f>
        <x:v>both_correct</x:v>
      </x:c>
      <x:c r="N385" s="26" t="n">
        <x:v>0</x:v>
      </x:c>
      <x:c r="O385" s="26" t="n">
        <x:v>0</x:v>
      </x:c>
    </x:row>
    <x:row r="386" ht="21" customHeight="1">
      <x:c r="A386" s="14" t="str">
        <x:v>NetQAD E2E 规划模块</x:v>
      </x:c>
      <x:c r="B386" s="14" t="str">
        <x:v>TC00000019</x:v>
      </x:c>
      <x:c r="C386" s="17" t="n">
        <x:v>151.5163</x:v>
      </x:c>
      <x:c r="D386" s="17" t="n">
        <x:v>133.2285</x:v>
      </x:c>
      <x:c r="E386" s="17" t="n">
        <x:f>C386-D386</x:f>
        <x:v>18.287800000000004</x:v>
      </x:c>
      <x:c r="F386" s="20" t="n">
        <x:f>IFERROR(E386/C386,0)</x:f>
        <x:v>0.12069856510487653</x:v>
      </x:c>
      <x:c r="G386" s="23" t="n">
        <x:v>2678</x:v>
      </x:c>
      <x:c r="H386" s="23" t="n">
        <x:v>294</x:v>
      </x:c>
      <x:c r="I386" s="23"/>
      <x:c r="J386" s="20"/>
      <x:c r="K386" s="26" t="n">
        <x:v>1</x:v>
      </x:c>
      <x:c r="L386" s="26" t="n">
        <x:v>1</x:v>
      </x:c>
      <x:c r="M386" s="14" t="str">
        <x:f>IF(AND(K386=1,L386=1),"both_correct",IF(K386=1,"vanilla_only",IF(L386=1,"candidate_only","both_wrong")))</x:f>
        <x:v>both_correct</x:v>
      </x:c>
      <x:c r="N386" s="26" t="n">
        <x:v>0</x:v>
      </x:c>
      <x:c r="O386" s="26" t="n">
        <x:v>0</x:v>
      </x:c>
    </x:row>
    <x:row r="387" ht="21" customHeight="1">
      <x:c r="A387" s="14" t="str">
        <x:v>NetQAD E2E 规划模块</x:v>
      </x:c>
      <x:c r="B387" s="14" t="str">
        <x:v>TC00000020</x:v>
      </x:c>
      <x:c r="C387" s="17" t="n">
        <x:v>151.6176</x:v>
      </x:c>
      <x:c r="D387" s="17" t="n">
        <x:v>150.5469</x:v>
      </x:c>
      <x:c r="E387" s="17" t="n">
        <x:f>C387-D387</x:f>
        <x:v>1.0707000000000164</x:v>
      </x:c>
      <x:c r="F387" s="20" t="n">
        <x:f>IFERROR(E387/C387,0)</x:f>
        <x:v>0.007061845062842416</x:v>
      </x:c>
      <x:c r="G387" s="23" t="n">
        <x:v>2691</x:v>
      </x:c>
      <x:c r="H387" s="23" t="n">
        <x:v>392</x:v>
      </x:c>
      <x:c r="I387" s="23"/>
      <x:c r="J387" s="20"/>
      <x:c r="K387" s="26" t="n">
        <x:v>1</x:v>
      </x:c>
      <x:c r="L387" s="26" t="n">
        <x:v>1</x:v>
      </x:c>
      <x:c r="M387" s="14" t="str">
        <x:f>IF(AND(K387=1,L387=1),"both_correct",IF(K387=1,"vanilla_only",IF(L387=1,"candidate_only","both_wrong")))</x:f>
        <x:v>both_correct</x:v>
      </x:c>
      <x:c r="N387" s="26" t="n">
        <x:v>0</x:v>
      </x:c>
      <x:c r="O387" s="26" t="n">
        <x:v>0</x:v>
      </x:c>
    </x:row>
    <x:row r="388" ht="21" customHeight="1">
      <x:c r="A388" s="14" t="str">
        <x:v>NetQAD E2E 规划模块</x:v>
      </x:c>
      <x:c r="B388" s="14" t="str">
        <x:v>TC00000021</x:v>
      </x:c>
      <x:c r="C388" s="17" t="n">
        <x:v>128.4982</x:v>
      </x:c>
      <x:c r="D388" s="17" t="n">
        <x:v>123.7627</x:v>
      </x:c>
      <x:c r="E388" s="17" t="n">
        <x:f>C388-D388</x:f>
        <x:v>4.735500000000002</x:v>
      </x:c>
      <x:c r="F388" s="20" t="n">
        <x:f>IFERROR(E388/C388,0)</x:f>
        <x:v>0.03685265630180035</x:v>
      </x:c>
      <x:c r="G388" s="23" t="n">
        <x:v>2292</x:v>
      </x:c>
      <x:c r="H388" s="23" t="n">
        <x:v>264</x:v>
      </x:c>
      <x:c r="I388" s="23"/>
      <x:c r="J388" s="20"/>
      <x:c r="K388" s="26" t="n">
        <x:v>1</x:v>
      </x:c>
      <x:c r="L388" s="26" t="n">
        <x:v>1</x:v>
      </x:c>
      <x:c r="M388" s="14" t="str">
        <x:f>IF(AND(K388=1,L388=1),"both_correct",IF(K388=1,"vanilla_only",IF(L388=1,"candidate_only","both_wrong")))</x:f>
        <x:v>both_correct</x:v>
      </x:c>
      <x:c r="N388" s="26" t="n">
        <x:v>0</x:v>
      </x:c>
      <x:c r="O388" s="26" t="n">
        <x:v>0</x:v>
      </x:c>
    </x:row>
    <x:row r="389" ht="21" customHeight="1">
      <x:c r="A389" s="14" t="str">
        <x:v>NetQAD E2E 规划模块</x:v>
      </x:c>
      <x:c r="B389" s="14" t="str">
        <x:v>TC00000022</x:v>
      </x:c>
      <x:c r="C389" s="17" t="n">
        <x:v>173.4108</x:v>
      </x:c>
      <x:c r="D389" s="17" t="n">
        <x:v>151.7509</x:v>
      </x:c>
      <x:c r="E389" s="17" t="n">
        <x:f>C389-D389</x:f>
        <x:v>21.659899999999993</x:v>
      </x:c>
      <x:c r="F389" s="20" t="n">
        <x:f>IFERROR(E389/C389,0)</x:f>
        <x:v>0.1249051385496174</x:v>
      </x:c>
      <x:c r="G389" s="23" t="n">
        <x:v>2957</x:v>
      </x:c>
      <x:c r="H389" s="23" t="n">
        <x:v>416</x:v>
      </x:c>
      <x:c r="I389" s="23"/>
      <x:c r="J389" s="20"/>
      <x:c r="K389" s="26" t="n">
        <x:v>1</x:v>
      </x:c>
      <x:c r="L389" s="26" t="n">
        <x:v>1</x:v>
      </x:c>
      <x:c r="M389" s="14" t="str">
        <x:f>IF(AND(K389=1,L389=1),"both_correct",IF(K389=1,"vanilla_only",IF(L389=1,"candidate_only","both_wrong")))</x:f>
        <x:v>both_correct</x:v>
      </x:c>
      <x:c r="N389" s="26" t="n">
        <x:v>0</x:v>
      </x:c>
      <x:c r="O389" s="26" t="n">
        <x:v>0</x:v>
      </x:c>
    </x:row>
    <x:row r="390" ht="21" customHeight="1">
      <x:c r="A390" s="14" t="str">
        <x:v>NetQAD E2E 规划模块</x:v>
      </x:c>
      <x:c r="B390" s="14" t="str">
        <x:v>TC00000023</x:v>
      </x:c>
      <x:c r="C390" s="17" t="n">
        <x:v>106.9301</x:v>
      </x:c>
      <x:c r="D390" s="17" t="n">
        <x:v>120.0981</x:v>
      </x:c>
      <x:c r="E390" s="17" t="n">
        <x:f>C390-D390</x:f>
        <x:v>-13.168000000000006</x:v>
      </x:c>
      <x:c r="F390" s="20" t="n">
        <x:f>IFERROR(E390/C390,0)</x:f>
        <x:v>-0.12314586818865789</x:v>
      </x:c>
      <x:c r="G390" s="23" t="n">
        <x:v>1878</x:v>
      </x:c>
      <x:c r="H390" s="23" t="n">
        <x:v>166</x:v>
      </x:c>
      <x:c r="I390" s="23"/>
      <x:c r="J390" s="20"/>
      <x:c r="K390" s="26" t="n">
        <x:v>1</x:v>
      </x:c>
      <x:c r="L390" s="26" t="n">
        <x:v>1</x:v>
      </x:c>
      <x:c r="M390" s="14" t="str">
        <x:f>IF(AND(K390=1,L390=1),"both_correct",IF(K390=1,"vanilla_only",IF(L390=1,"candidate_only","both_wrong")))</x:f>
        <x:v>both_correct</x:v>
      </x:c>
      <x:c r="N390" s="26" t="n">
        <x:v>0</x:v>
      </x:c>
      <x:c r="O390" s="26" t="n">
        <x:v>0</x:v>
      </x:c>
    </x:row>
    <x:row r="391" ht="21" customHeight="1">
      <x:c r="A391" s="14" t="str">
        <x:v>NetQAD E2E 规划模块</x:v>
      </x:c>
      <x:c r="B391" s="14" t="str">
        <x:v>TC00000024</x:v>
      </x:c>
      <x:c r="C391" s="17" t="n">
        <x:v>134.5373</x:v>
      </x:c>
      <x:c r="D391" s="17" t="n">
        <x:v>123.7754</x:v>
      </x:c>
      <x:c r="E391" s="17" t="n">
        <x:f>C391-D391</x:f>
        <x:v>10.761899999999983</x:v>
      </x:c>
      <x:c r="F391" s="20" t="n">
        <x:f>IFERROR(E391/C391,0)</x:f>
        <x:v>0.07999194275490874</x:v>
      </x:c>
      <x:c r="G391" s="23" t="n">
        <x:v>2327</x:v>
      </x:c>
      <x:c r="H391" s="23" t="n">
        <x:v>260</x:v>
      </x:c>
      <x:c r="I391" s="23"/>
      <x:c r="J391" s="20"/>
      <x:c r="K391" s="26" t="n">
        <x:v>1</x:v>
      </x:c>
      <x:c r="L391" s="26" t="n">
        <x:v>1</x:v>
      </x:c>
      <x:c r="M391" s="14" t="str">
        <x:f>IF(AND(K391=1,L391=1),"both_correct",IF(K391=1,"vanilla_only",IF(L391=1,"candidate_only","both_wrong")))</x:f>
        <x:v>both_correct</x:v>
      </x:c>
      <x:c r="N391" s="26" t="n">
        <x:v>0</x:v>
      </x:c>
      <x:c r="O391" s="26" t="n">
        <x:v>0</x:v>
      </x:c>
    </x:row>
    <x:row r="392" ht="21" customHeight="1">
      <x:c r="A392" s="14" t="str">
        <x:v>NetQAD E2E 规划模块</x:v>
      </x:c>
      <x:c r="B392" s="14" t="str">
        <x:v>TC00000025</x:v>
      </x:c>
      <x:c r="C392" s="17" t="n">
        <x:v>130.3148</x:v>
      </x:c>
      <x:c r="D392" s="17" t="n">
        <x:v>118.176</x:v>
      </x:c>
      <x:c r="E392" s="17" t="n">
        <x:f>C392-D392</x:f>
        <x:v>12.13879999999999</x:v>
      </x:c>
      <x:c r="F392" s="20" t="n">
        <x:f>IFERROR(E392/C392,0)</x:f>
        <x:v>0.0931498187466043</x:v>
      </x:c>
      <x:c r="G392" s="23" t="n">
        <x:v>2223</x:v>
      </x:c>
      <x:c r="H392" s="23" t="n">
        <x:v>244</x:v>
      </x:c>
      <x:c r="I392" s="23"/>
      <x:c r="J392" s="20"/>
      <x:c r="K392" s="26" t="n">
        <x:v>1</x:v>
      </x:c>
      <x:c r="L392" s="26" t="n">
        <x:v>1</x:v>
      </x:c>
      <x:c r="M392" s="14" t="str">
        <x:f>IF(AND(K392=1,L392=1),"both_correct",IF(K392=1,"vanilla_only",IF(L392=1,"candidate_only","both_wrong")))</x:f>
        <x:v>both_correct</x:v>
      </x:c>
      <x:c r="N392" s="26" t="n">
        <x:v>0</x:v>
      </x:c>
      <x:c r="O392" s="26" t="n">
        <x:v>0</x:v>
      </x:c>
    </x:row>
    <x:row r="393" ht="21" customHeight="1">
      <x:c r="A393" s="14" t="str">
        <x:v>NetQAD E2E 规划模块</x:v>
      </x:c>
      <x:c r="B393" s="14" t="str">
        <x:v>TC00000026</x:v>
      </x:c>
      <x:c r="C393" s="17" t="n">
        <x:v>114.9464</x:v>
      </x:c>
      <x:c r="D393" s="17" t="n">
        <x:v>123.4957</x:v>
      </x:c>
      <x:c r="E393" s="17" t="n">
        <x:f>C393-D393</x:f>
        <x:v>-8.549300000000002</x:v>
      </x:c>
      <x:c r="F393" s="20" t="n">
        <x:f>IFERROR(E393/C393,0)</x:f>
        <x:v>-0.07437640500267953</x:v>
      </x:c>
      <x:c r="G393" s="23" t="n">
        <x:v>1977</x:v>
      </x:c>
      <x:c r="H393" s="23" t="n">
        <x:v>244</x:v>
      </x:c>
      <x:c r="I393" s="23"/>
      <x:c r="J393" s="20"/>
      <x:c r="K393" s="26" t="n">
        <x:v>1</x:v>
      </x:c>
      <x:c r="L393" s="26" t="n">
        <x:v>1</x:v>
      </x:c>
      <x:c r="M393" s="14" t="str">
        <x:f>IF(AND(K393=1,L393=1),"both_correct",IF(K393=1,"vanilla_only",IF(L393=1,"candidate_only","both_wrong")))</x:f>
        <x:v>both_correct</x:v>
      </x:c>
      <x:c r="N393" s="26" t="n">
        <x:v>0</x:v>
      </x:c>
      <x:c r="O393" s="26" t="n">
        <x:v>0</x:v>
      </x:c>
    </x:row>
    <x:row r="394" ht="21" customHeight="1">
      <x:c r="A394" s="14" t="str">
        <x:v>NetQAD E2E 规划模块</x:v>
      </x:c>
      <x:c r="B394" s="14" t="str">
        <x:v>TC00000027</x:v>
      </x:c>
      <x:c r="C394" s="17" t="n">
        <x:v>89.0559</x:v>
      </x:c>
      <x:c r="D394" s="17" t="n">
        <x:v>103.3605</x:v>
      </x:c>
      <x:c r="E394" s="17" t="n">
        <x:f>C394-D394</x:f>
        <x:v>-14.304600000000008</x:v>
      </x:c>
      <x:c r="F394" s="20" t="n">
        <x:f>IFERROR(E394/C394,0)</x:f>
        <x:v>-0.16062495578619732</x:v>
      </x:c>
      <x:c r="G394" s="23" t="n">
        <x:v>1466</x:v>
      </x:c>
      <x:c r="H394" s="23" t="n">
        <x:v>105</x:v>
      </x:c>
      <x:c r="I394" s="23"/>
      <x:c r="J394" s="20"/>
      <x:c r="K394" s="26" t="n">
        <x:v>1</x:v>
      </x:c>
      <x:c r="L394" s="26" t="n">
        <x:v>1</x:v>
      </x:c>
      <x:c r="M394" s="14" t="str">
        <x:f>IF(AND(K394=1,L394=1),"both_correct",IF(K394=1,"vanilla_only",IF(L394=1,"candidate_only","both_wrong")))</x:f>
        <x:v>both_correct</x:v>
      </x:c>
      <x:c r="N394" s="26" t="n">
        <x:v>0</x:v>
      </x:c>
      <x:c r="O394" s="26" t="n">
        <x:v>0</x:v>
      </x:c>
    </x:row>
    <x:row r="395" ht="21" customHeight="1">
      <x:c r="A395" s="14" t="str">
        <x:v>NetQAD E2E 规划模块</x:v>
      </x:c>
      <x:c r="B395" s="14" t="str">
        <x:v>TC00000028</x:v>
      </x:c>
      <x:c r="C395" s="17" t="n">
        <x:v>115.7973</x:v>
      </x:c>
      <x:c r="D395" s="17" t="n">
        <x:v>123.2808</x:v>
      </x:c>
      <x:c r="E395" s="17" t="n">
        <x:f>C395-D395</x:f>
        <x:v>-7.483499999999992</x:v>
      </x:c>
      <x:c r="F395" s="20" t="n">
        <x:f>IFERROR(E395/C395,0)</x:f>
        <x:v>-0.06462585915215632</x:v>
      </x:c>
      <x:c r="G395" s="23" t="n">
        <x:v>1834</x:v>
      </x:c>
      <x:c r="H395" s="23" t="n">
        <x:v>240</x:v>
      </x:c>
      <x:c r="I395" s="23"/>
      <x:c r="J395" s="20"/>
      <x:c r="K395" s="26" t="n">
        <x:v>1</x:v>
      </x:c>
      <x:c r="L395" s="26" t="n">
        <x:v>1</x:v>
      </x:c>
      <x:c r="M395" s="14" t="str">
        <x:f>IF(AND(K395=1,L395=1),"both_correct",IF(K395=1,"vanilla_only",IF(L395=1,"candidate_only","both_wrong")))</x:f>
        <x:v>both_correct</x:v>
      </x:c>
      <x:c r="N395" s="26" t="n">
        <x:v>0</x:v>
      </x:c>
      <x:c r="O395" s="26" t="n">
        <x:v>0</x:v>
      </x:c>
    </x:row>
    <x:row r="396" ht="21" customHeight="1">
      <x:c r="A396" s="14" t="str">
        <x:v>NetQAD E2E 规划模块</x:v>
      </x:c>
      <x:c r="B396" s="14" t="str">
        <x:v>TC00000029</x:v>
      </x:c>
      <x:c r="C396" s="17" t="n">
        <x:v>116.6777</x:v>
      </x:c>
      <x:c r="D396" s="17" t="n">
        <x:v>115.9008</x:v>
      </x:c>
      <x:c r="E396" s="17" t="n">
        <x:f>C396-D396</x:f>
        <x:v>0.7768999999999977</x:v>
      </x:c>
      <x:c r="F396" s="20" t="n">
        <x:f>IFERROR(E396/C396,0)</x:f>
        <x:v>0.006658513152041887</x:v>
      </x:c>
      <x:c r="G396" s="23" t="n">
        <x:v>1996</x:v>
      </x:c>
      <x:c r="H396" s="23" t="n">
        <x:v>175</x:v>
      </x:c>
      <x:c r="I396" s="23"/>
      <x:c r="J396" s="20"/>
      <x:c r="K396" s="26" t="n">
        <x:v>1</x:v>
      </x:c>
      <x:c r="L396" s="26" t="n">
        <x:v>1</x:v>
      </x:c>
      <x:c r="M396" s="14" t="str">
        <x:f>IF(AND(K396=1,L396=1),"both_correct",IF(K396=1,"vanilla_only",IF(L396=1,"candidate_only","both_wrong")))</x:f>
        <x:v>both_correct</x:v>
      </x:c>
      <x:c r="N396" s="26" t="n">
        <x:v>0</x:v>
      </x:c>
      <x:c r="O396" s="26" t="n">
        <x:v>0</x:v>
      </x:c>
    </x:row>
    <x:row r="397" ht="21" customHeight="1">
      <x:c r="A397" s="14" t="str">
        <x:v>NetQAD E2E 规划模块</x:v>
      </x:c>
      <x:c r="B397" s="14" t="str">
        <x:v>TC00000030</x:v>
      </x:c>
      <x:c r="C397" s="17" t="n">
        <x:v>102.7456</x:v>
      </x:c>
      <x:c r="D397" s="17" t="n">
        <x:v>111.9107</x:v>
      </x:c>
      <x:c r="E397" s="17" t="n">
        <x:f>C397-D397</x:f>
        <x:v>-9.16510000000001</x:v>
      </x:c>
      <x:c r="F397" s="20" t="n">
        <x:f>IFERROR(E397/C397,0)</x:f>
        <x:v>-0.08920187336489357</x:v>
      </x:c>
      <x:c r="G397" s="23" t="n">
        <x:v>1766</x:v>
      </x:c>
      <x:c r="H397" s="23" t="n">
        <x:v>109</x:v>
      </x:c>
      <x:c r="I397" s="23"/>
      <x:c r="J397" s="20"/>
      <x:c r="K397" s="26" t="n">
        <x:v>1</x:v>
      </x:c>
      <x:c r="L397" s="26" t="n">
        <x:v>1</x:v>
      </x:c>
      <x:c r="M397" s="14" t="str">
        <x:f>IF(AND(K397=1,L397=1),"both_correct",IF(K397=1,"vanilla_only",IF(L397=1,"candidate_only","both_wrong")))</x:f>
        <x:v>both_correct</x:v>
      </x:c>
      <x:c r="N397" s="26" t="n">
        <x:v>0</x:v>
      </x:c>
      <x:c r="O397" s="26" t="n">
        <x:v>0</x:v>
      </x:c>
    </x:row>
    <x:row r="398" ht="21" customHeight="1">
      <x:c r="A398" s="14" t="str">
        <x:v>NetQAD E2E 规划模块</x:v>
      </x:c>
      <x:c r="B398" s="14" t="str">
        <x:v>TC00000031</x:v>
      </x:c>
      <x:c r="C398" s="17" t="n">
        <x:v>122.8867</x:v>
      </x:c>
      <x:c r="D398" s="17" t="n">
        <x:v>107.7991</x:v>
      </x:c>
      <x:c r="E398" s="17" t="n">
        <x:f>C398-D398</x:f>
        <x:v>15.087600000000009</x:v>
      </x:c>
      <x:c r="F398" s="20" t="n">
        <x:f>IFERROR(E398/C398,0)</x:f>
        <x:v>0.12277650876783255</x:v>
      </x:c>
      <x:c r="G398" s="23" t="n">
        <x:v>2152</x:v>
      </x:c>
      <x:c r="H398" s="23" t="n">
        <x:v>146</x:v>
      </x:c>
      <x:c r="I398" s="23"/>
      <x:c r="J398" s="20"/>
      <x:c r="K398" s="26" t="n">
        <x:v>1</x:v>
      </x:c>
      <x:c r="L398" s="26" t="n">
        <x:v>1</x:v>
      </x:c>
      <x:c r="M398" s="14" t="str">
        <x:f>IF(AND(K398=1,L398=1),"both_correct",IF(K398=1,"vanilla_only",IF(L398=1,"candidate_only","both_wrong")))</x:f>
        <x:v>both_correct</x:v>
      </x:c>
      <x:c r="N398" s="26" t="n">
        <x:v>0</x:v>
      </x:c>
      <x:c r="O398" s="26" t="n">
        <x:v>0</x:v>
      </x:c>
    </x:row>
    <x:row r="399" ht="21" customHeight="1">
      <x:c r="A399" s="14" t="str">
        <x:v>NetQAD E2E 规划模块</x:v>
      </x:c>
      <x:c r="B399" s="14" t="str">
        <x:v>TC00000032</x:v>
      </x:c>
      <x:c r="C399" s="17" t="n">
        <x:v>153.1124</x:v>
      </x:c>
      <x:c r="D399" s="17" t="n">
        <x:v>145.4334</x:v>
      </x:c>
      <x:c r="E399" s="17" t="n">
        <x:f>C399-D399</x:f>
        <x:v>7.679000000000002</x:v>
      </x:c>
      <x:c r="F399" s="20" t="n">
        <x:f>IFERROR(E399/C399,0)</x:f>
        <x:v>0.050152698279172694</x:v>
      </x:c>
      <x:c r="G399" s="23" t="n">
        <x:v>2749</x:v>
      </x:c>
      <x:c r="H399" s="23" t="n">
        <x:v>519</x:v>
      </x:c>
      <x:c r="I399" s="23"/>
      <x:c r="J399" s="20"/>
      <x:c r="K399" s="26" t="n">
        <x:v>1</x:v>
      </x:c>
      <x:c r="L399" s="26" t="n">
        <x:v>1</x:v>
      </x:c>
      <x:c r="M399" s="14" t="str">
        <x:f>IF(AND(K399=1,L399=1),"both_correct",IF(K399=1,"vanilla_only",IF(L399=1,"candidate_only","both_wrong")))</x:f>
        <x:v>both_correct</x:v>
      </x:c>
      <x:c r="N399" s="26" t="n">
        <x:v>0</x:v>
      </x:c>
      <x:c r="O399" s="26" t="n">
        <x:v>0</x:v>
      </x:c>
    </x:row>
    <x:row r="400" ht="21" customHeight="1">
      <x:c r="A400" s="14" t="str">
        <x:v>NetQAD E2E 规划模块</x:v>
      </x:c>
      <x:c r="B400" s="14" t="str">
        <x:v>TC00000033</x:v>
      </x:c>
      <x:c r="C400" s="17" t="n">
        <x:v>82.9928</x:v>
      </x:c>
      <x:c r="D400" s="17" t="n">
        <x:v>114.6219</x:v>
      </x:c>
      <x:c r="E400" s="17" t="n">
        <x:f>C400-D400</x:f>
        <x:v>-31.629099999999994</x:v>
      </x:c>
      <x:c r="F400" s="20" t="n">
        <x:f>IFERROR(E400/C400,0)</x:f>
        <x:v>-0.38110655382153624</x:v>
      </x:c>
      <x:c r="G400" s="23" t="n">
        <x:v>1386</x:v>
      </x:c>
      <x:c r="H400" s="23" t="n">
        <x:v>80</x:v>
      </x:c>
      <x:c r="I400" s="23"/>
      <x:c r="J400" s="20"/>
      <x:c r="K400" s="26" t="n">
        <x:v>1</x:v>
      </x:c>
      <x:c r="L400" s="26" t="n">
        <x:v>1</x:v>
      </x:c>
      <x:c r="M400" s="14" t="str">
        <x:f>IF(AND(K400=1,L400=1),"both_correct",IF(K400=1,"vanilla_only",IF(L400=1,"candidate_only","both_wrong")))</x:f>
        <x:v>both_correct</x:v>
      </x:c>
      <x:c r="N400" s="26" t="n">
        <x:v>0</x:v>
      </x:c>
      <x:c r="O400" s="26" t="n">
        <x:v>0</x:v>
      </x:c>
    </x:row>
    <x:row r="401" ht="21" customHeight="1">
      <x:c r="A401" s="14" t="str">
        <x:v>NetQAD E2E 规划模块</x:v>
      </x:c>
      <x:c r="B401" s="14" t="str">
        <x:v>TC00000034</x:v>
      </x:c>
      <x:c r="C401" s="17" t="n">
        <x:v>146.1811</x:v>
      </x:c>
      <x:c r="D401" s="17" t="n">
        <x:v>144.5955</x:v>
      </x:c>
      <x:c r="E401" s="17" t="n">
        <x:f>C401-D401</x:f>
        <x:v>1.5855999999999995</x:v>
      </x:c>
      <x:c r="F401" s="20" t="n">
        <x:f>IFERROR(E401/C401,0)</x:f>
        <x:v>0.010846819458876692</x:v>
      </x:c>
      <x:c r="G401" s="23" t="n">
        <x:v>2508</x:v>
      </x:c>
      <x:c r="H401" s="23" t="n">
        <x:v>301</x:v>
      </x:c>
      <x:c r="I401" s="23"/>
      <x:c r="J401" s="20"/>
      <x:c r="K401" s="26" t="n">
        <x:v>1</x:v>
      </x:c>
      <x:c r="L401" s="26" t="n">
        <x:v>1</x:v>
      </x:c>
      <x:c r="M401" s="14" t="str">
        <x:f>IF(AND(K401=1,L401=1),"both_correct",IF(K401=1,"vanilla_only",IF(L401=1,"candidate_only","both_wrong")))</x:f>
        <x:v>both_correct</x:v>
      </x:c>
      <x:c r="N401" s="26" t="n">
        <x:v>0</x:v>
      </x:c>
      <x:c r="O401" s="26" t="n">
        <x:v>0</x:v>
      </x:c>
    </x:row>
    <x:row r="402" ht="21" customHeight="1">
      <x:c r="A402" s="14" t="str">
        <x:v>NetQAD E2E 规划模块</x:v>
      </x:c>
      <x:c r="B402" s="14" t="str">
        <x:v>TC00000035</x:v>
      </x:c>
      <x:c r="C402" s="17" t="n">
        <x:v>113.8841</x:v>
      </x:c>
      <x:c r="D402" s="17" t="n">
        <x:v>120.0364</x:v>
      </x:c>
      <x:c r="E402" s="17" t="n">
        <x:f>C402-D402</x:f>
        <x:v>-6.152299999999997</x:v>
      </x:c>
      <x:c r="F402" s="20" t="n">
        <x:f>IFERROR(E402/C402,0)</x:f>
        <x:v>-0.0540224667007949</x:v>
      </x:c>
      <x:c r="G402" s="23" t="n">
        <x:v>1967</x:v>
      </x:c>
      <x:c r="H402" s="23" t="n">
        <x:v>147</x:v>
      </x:c>
      <x:c r="I402" s="23"/>
      <x:c r="J402" s="20"/>
      <x:c r="K402" s="26" t="n">
        <x:v>1</x:v>
      </x:c>
      <x:c r="L402" s="26" t="n">
        <x:v>1</x:v>
      </x:c>
      <x:c r="M402" s="14" t="str">
        <x:f>IF(AND(K402=1,L402=1),"both_correct",IF(K402=1,"vanilla_only",IF(L402=1,"candidate_only","both_wrong")))</x:f>
        <x:v>both_correct</x:v>
      </x:c>
      <x:c r="N402" s="26" t="n">
        <x:v>0</x:v>
      </x:c>
      <x:c r="O402" s="26" t="n">
        <x:v>0</x:v>
      </x:c>
    </x:row>
    <x:row r="403" ht="21" customHeight="1">
      <x:c r="A403" s="14" t="str">
        <x:v>NetQAD E2E 规划模块</x:v>
      </x:c>
      <x:c r="B403" s="14" t="str">
        <x:v>TC00000036</x:v>
      </x:c>
      <x:c r="C403" s="17" t="n">
        <x:v>121.4211</x:v>
      </x:c>
      <x:c r="D403" s="17" t="n">
        <x:v>122.4517</x:v>
      </x:c>
      <x:c r="E403" s="17" t="n">
        <x:f>C403-D403</x:f>
        <x:v>-1.0306000000000068</x:v>
      </x:c>
      <x:c r="F403" s="20" t="n">
        <x:f>IFERROR(E403/C403,0)</x:f>
        <x:v>-0.008487816367995405</x:v>
      </x:c>
      <x:c r="G403" s="23" t="n">
        <x:v>2090</x:v>
      </x:c>
      <x:c r="H403" s="23" t="n">
        <x:v>147</x:v>
      </x:c>
      <x:c r="I403" s="23"/>
      <x:c r="J403" s="20"/>
      <x:c r="K403" s="26" t="n">
        <x:v>1</x:v>
      </x:c>
      <x:c r="L403" s="26" t="n">
        <x:v>1</x:v>
      </x:c>
      <x:c r="M403" s="14" t="str">
        <x:f>IF(AND(K403=1,L403=1),"both_correct",IF(K403=1,"vanilla_only",IF(L403=1,"candidate_only","both_wrong")))</x:f>
        <x:v>both_correct</x:v>
      </x:c>
      <x:c r="N403" s="26" t="n">
        <x:v>0</x:v>
      </x:c>
      <x:c r="O403" s="26" t="n">
        <x:v>0</x:v>
      </x:c>
    </x:row>
    <x:row r="404" ht="21" customHeight="1">
      <x:c r="A404" s="14" t="str">
        <x:v>NetQAD E2E 规划模块</x:v>
      </x:c>
      <x:c r="B404" s="14" t="str">
        <x:v>TC00000037</x:v>
      </x:c>
      <x:c r="C404" s="17" t="n">
        <x:v>115.8261</x:v>
      </x:c>
      <x:c r="D404" s="17" t="n">
        <x:v>126.5862</x:v>
      </x:c>
      <x:c r="E404" s="17" t="n">
        <x:f>C404-D404</x:f>
        <x:v>-10.760100000000008</x:v>
      </x:c>
      <x:c r="F404" s="20" t="n">
        <x:f>IFERROR(E404/C404,0)</x:f>
        <x:v>-0.0928987507996903</x:v>
      </x:c>
      <x:c r="G404" s="23" t="n">
        <x:v>1911</x:v>
      </x:c>
      <x:c r="H404" s="23" t="n">
        <x:v>105</x:v>
      </x:c>
      <x:c r="I404" s="23"/>
      <x:c r="J404" s="20"/>
      <x:c r="K404" s="26" t="n">
        <x:v>1</x:v>
      </x:c>
      <x:c r="L404" s="26" t="n">
        <x:v>1</x:v>
      </x:c>
      <x:c r="M404" s="14" t="str">
        <x:f>IF(AND(K404=1,L404=1),"both_correct",IF(K404=1,"vanilla_only",IF(L404=1,"candidate_only","both_wrong")))</x:f>
        <x:v>both_correct</x:v>
      </x:c>
      <x:c r="N404" s="26" t="n">
        <x:v>0</x:v>
      </x:c>
      <x:c r="O404" s="26" t="n">
        <x:v>0</x:v>
      </x:c>
    </x:row>
    <x:row r="405" ht="21" customHeight="1">
      <x:c r="A405" s="14" t="str">
        <x:v>NetQAD E2E 规划模块</x:v>
      </x:c>
      <x:c r="B405" s="14" t="str">
        <x:v>TC00000038</x:v>
      </x:c>
      <x:c r="C405" s="17" t="n">
        <x:v>102.6313</x:v>
      </x:c>
      <x:c r="D405" s="17" t="n">
        <x:v>119.5768</x:v>
      </x:c>
      <x:c r="E405" s="17" t="n">
        <x:f>C405-D405</x:f>
        <x:v>-16.94550000000001</x:v>
      </x:c>
      <x:c r="F405" s="20" t="n">
        <x:f>IFERROR(E405/C405,0)</x:f>
        <x:v>-0.16511044876173264</x:v>
      </x:c>
      <x:c r="G405" s="23" t="n">
        <x:v>1798</x:v>
      </x:c>
      <x:c r="H405" s="23" t="n">
        <x:v>174</x:v>
      </x:c>
      <x:c r="I405" s="23"/>
      <x:c r="J405" s="20"/>
      <x:c r="K405" s="26" t="n">
        <x:v>1</x:v>
      </x:c>
      <x:c r="L405" s="26" t="n">
        <x:v>1</x:v>
      </x:c>
      <x:c r="M405" s="14" t="str">
        <x:f>IF(AND(K405=1,L405=1),"both_correct",IF(K405=1,"vanilla_only",IF(L405=1,"candidate_only","both_wrong")))</x:f>
        <x:v>both_correct</x:v>
      </x:c>
      <x:c r="N405" s="26" t="n">
        <x:v>0</x:v>
      </x:c>
      <x:c r="O405" s="26" t="n">
        <x:v>0</x:v>
      </x:c>
    </x:row>
    <x:row r="406" ht="21" customHeight="1">
      <x:c r="A406" s="14" t="str">
        <x:v>NetQAD E2E 规划模块</x:v>
      </x:c>
      <x:c r="B406" s="14" t="str">
        <x:v>TC00000039</x:v>
      </x:c>
      <x:c r="C406" s="17" t="n">
        <x:v>199.1413</x:v>
      </x:c>
      <x:c r="D406" s="17" t="n">
        <x:v>203.5592</x:v>
      </x:c>
      <x:c r="E406" s="17" t="n">
        <x:f>C406-D406</x:f>
        <x:v>-4.417900000000003</x:v>
      </x:c>
      <x:c r="F406" s="20" t="n">
        <x:f>IFERROR(E406/C406,0)</x:f>
        <x:v>-0.022184750225091445</x:v>
      </x:c>
      <x:c r="G406" s="23" t="n">
        <x:v>3592</x:v>
      </x:c>
      <x:c r="H406" s="23" t="n">
        <x:v>813</x:v>
      </x:c>
      <x:c r="I406" s="23"/>
      <x:c r="J406" s="20"/>
      <x:c r="K406" s="26" t="n">
        <x:v>1</x:v>
      </x:c>
      <x:c r="L406" s="26" t="n">
        <x:v>1</x:v>
      </x:c>
      <x:c r="M406" s="14" t="str">
        <x:f>IF(AND(K406=1,L406=1),"both_correct",IF(K406=1,"vanilla_only",IF(L406=1,"candidate_only","both_wrong")))</x:f>
        <x:v>both_correct</x:v>
      </x:c>
      <x:c r="N406" s="26" t="n">
        <x:v>0</x:v>
      </x:c>
      <x:c r="O406" s="26" t="n">
        <x:v>0</x:v>
      </x:c>
    </x:row>
    <x:row r="407" ht="21" customHeight="1">
      <x:c r="A407" s="14" t="str">
        <x:v>NetQAD E2E 规划模块</x:v>
      </x:c>
      <x:c r="B407" s="14" t="str">
        <x:v>TC00000040</x:v>
      </x:c>
      <x:c r="C407" s="17" t="n">
        <x:v>136.8935</x:v>
      </x:c>
      <x:c r="D407" s="17" t="n">
        <x:v>133.8416</x:v>
      </x:c>
      <x:c r="E407" s="17" t="n">
        <x:f>C407-D407</x:f>
        <x:v>3.051899999999989</x:v>
      </x:c>
      <x:c r="F407" s="20" t="n">
        <x:f>IFERROR(E407/C407,0)</x:f>
        <x:v>0.02229397305204403</x:v>
      </x:c>
      <x:c r="G407" s="23" t="n">
        <x:v>2289</x:v>
      </x:c>
      <x:c r="H407" s="23" t="n">
        <x:v>315</x:v>
      </x:c>
      <x:c r="I407" s="23"/>
      <x:c r="J407" s="20"/>
      <x:c r="K407" s="26" t="n">
        <x:v>1</x:v>
      </x:c>
      <x:c r="L407" s="26" t="n">
        <x:v>1</x:v>
      </x:c>
      <x:c r="M407" s="14" t="str">
        <x:f>IF(AND(K407=1,L407=1),"both_correct",IF(K407=1,"vanilla_only",IF(L407=1,"candidate_only","both_wrong")))</x:f>
        <x:v>both_correct</x:v>
      </x:c>
      <x:c r="N407" s="26" t="n">
        <x:v>0</x:v>
      </x:c>
      <x:c r="O407" s="26" t="n">
        <x:v>0</x:v>
      </x:c>
    </x:row>
    <x:row r="408" ht="21" customHeight="1">
      <x:c r="A408" s="14" t="str">
        <x:v>NetQAD E2E 规划模块</x:v>
      </x:c>
      <x:c r="B408" s="14" t="str">
        <x:v>TC00000041</x:v>
      </x:c>
      <x:c r="C408" s="17" t="n">
        <x:v>117.9265</x:v>
      </x:c>
      <x:c r="D408" s="17" t="n">
        <x:v>141.7554</x:v>
      </x:c>
      <x:c r="E408" s="17" t="n">
        <x:f>C408-D408</x:f>
        <x:v>-23.828900000000004</x:v>
      </x:c>
      <x:c r="F408" s="20" t="n">
        <x:f>IFERROR(E408/C408,0)</x:f>
        <x:v>-0.20206569346160536</x:v>
      </x:c>
      <x:c r="G408" s="23" t="n">
        <x:v>1877</x:v>
      </x:c>
      <x:c r="H408" s="23" t="n">
        <x:v>109</x:v>
      </x:c>
      <x:c r="I408" s="23"/>
      <x:c r="J408" s="20"/>
      <x:c r="K408" s="26" t="n">
        <x:v>1</x:v>
      </x:c>
      <x:c r="L408" s="26" t="n">
        <x:v>1</x:v>
      </x:c>
      <x:c r="M408" s="14" t="str">
        <x:f>IF(AND(K408=1,L408=1),"both_correct",IF(K408=1,"vanilla_only",IF(L408=1,"candidate_only","both_wrong")))</x:f>
        <x:v>both_correct</x:v>
      </x:c>
      <x:c r="N408" s="26" t="n">
        <x:v>0</x:v>
      </x:c>
      <x:c r="O408" s="26" t="n">
        <x:v>0</x:v>
      </x:c>
    </x:row>
    <x:row r="409" ht="21" customHeight="1">
      <x:c r="A409" s="14" t="str">
        <x:v>NetQAD E2E 规划模块</x:v>
      </x:c>
      <x:c r="B409" s="14" t="str">
        <x:v>TC00000042</x:v>
      </x:c>
      <x:c r="C409" s="17" t="n">
        <x:v>108.71</x:v>
      </x:c>
      <x:c r="D409" s="17" t="n">
        <x:v>105.8254</x:v>
      </x:c>
      <x:c r="E409" s="17" t="n">
        <x:f>C409-D409</x:f>
        <x:v>2.884599999999992</x:v>
      </x:c>
      <x:c r="F409" s="20" t="n">
        <x:f>IFERROR(E409/C409,0)</x:f>
        <x:v>0.026534817404102583</x:v>
      </x:c>
      <x:c r="G409" s="23" t="n">
        <x:v>1744</x:v>
      </x:c>
      <x:c r="H409" s="23" t="n">
        <x:v>173</x:v>
      </x:c>
      <x:c r="I409" s="23"/>
      <x:c r="J409" s="20"/>
      <x:c r="K409" s="26" t="n">
        <x:v>1</x:v>
      </x:c>
      <x:c r="L409" s="26" t="n">
        <x:v>1</x:v>
      </x:c>
      <x:c r="M409" s="14" t="str">
        <x:f>IF(AND(K409=1,L409=1),"both_correct",IF(K409=1,"vanilla_only",IF(L409=1,"candidate_only","both_wrong")))</x:f>
        <x:v>both_correct</x:v>
      </x:c>
      <x:c r="N409" s="26" t="n">
        <x:v>0</x:v>
      </x:c>
      <x:c r="O409" s="26" t="n">
        <x:v>0</x:v>
      </x:c>
    </x:row>
    <x:row r="410" ht="21" customHeight="1">
      <x:c r="A410" s="14" t="str">
        <x:v>NetQAD E2E 规划模块</x:v>
      </x:c>
      <x:c r="B410" s="14" t="str">
        <x:v>TC00000043</x:v>
      </x:c>
      <x:c r="C410" s="17" t="n">
        <x:v>119.8992</x:v>
      </x:c>
      <x:c r="D410" s="17" t="n">
        <x:v>101.4339</x:v>
      </x:c>
      <x:c r="E410" s="17" t="n">
        <x:f>C410-D410</x:f>
        <x:v>18.4653</x:v>
      </x:c>
      <x:c r="F410" s="20" t="n">
        <x:f>IFERROR(E410/C410,0)</x:f>
        <x:v>0.15400686576724448</x:v>
      </x:c>
      <x:c r="G410" s="23" t="n">
        <x:v>1944</x:v>
      </x:c>
      <x:c r="H410" s="23" t="n">
        <x:v>82</x:v>
      </x:c>
      <x:c r="I410" s="23"/>
      <x:c r="J410" s="20"/>
      <x:c r="K410" s="26" t="n">
        <x:v>1</x:v>
      </x:c>
      <x:c r="L410" s="26" t="n">
        <x:v>1</x:v>
      </x:c>
      <x:c r="M410" s="14" t="str">
        <x:f>IF(AND(K410=1,L410=1),"both_correct",IF(K410=1,"vanilla_only",IF(L410=1,"candidate_only","both_wrong")))</x:f>
        <x:v>both_correct</x:v>
      </x:c>
      <x:c r="N410" s="26" t="n">
        <x:v>0</x:v>
      </x:c>
      <x:c r="O410" s="26" t="n">
        <x:v>0</x:v>
      </x:c>
    </x:row>
    <x:row r="411" ht="21" customHeight="1">
      <x:c r="A411" s="14" t="str">
        <x:v>NetQAD E2E 规划模块</x:v>
      </x:c>
      <x:c r="B411" s="14" t="str">
        <x:v>TC00000044</x:v>
      </x:c>
      <x:c r="C411" s="17" t="n">
        <x:v>93.724</x:v>
      </x:c>
      <x:c r="D411" s="17" t="n">
        <x:v>92.6112</x:v>
      </x:c>
      <x:c r="E411" s="17" t="n">
        <x:f>C411-D411</x:f>
        <x:v>1.1128000000000071</x:v>
      </x:c>
      <x:c r="F411" s="20" t="n">
        <x:f>IFERROR(E411/C411,0)</x:f>
        <x:v>0.011873159489565181</x:v>
      </x:c>
      <x:c r="G411" s="23" t="n">
        <x:v>1463</x:v>
      </x:c>
      <x:c r="H411" s="23" t="n">
        <x:v>82</x:v>
      </x:c>
      <x:c r="I411" s="23"/>
      <x:c r="J411" s="20"/>
      <x:c r="K411" s="26" t="n">
        <x:v>1</x:v>
      </x:c>
      <x:c r="L411" s="26" t="n">
        <x:v>1</x:v>
      </x:c>
      <x:c r="M411" s="14" t="str">
        <x:f>IF(AND(K411=1,L411=1),"both_correct",IF(K411=1,"vanilla_only",IF(L411=1,"candidate_only","both_wrong")))</x:f>
        <x:v>both_correct</x:v>
      </x:c>
      <x:c r="N411" s="26" t="n">
        <x:v>0</x:v>
      </x:c>
      <x:c r="O411" s="26" t="n">
        <x:v>0</x:v>
      </x:c>
    </x:row>
    <x:row r="412" ht="21" customHeight="1">
      <x:c r="A412" s="14" t="str">
        <x:v>NetQAD E2E 规划模块</x:v>
      </x:c>
      <x:c r="B412" s="14" t="str">
        <x:v>TC00000045</x:v>
      </x:c>
      <x:c r="C412" s="17" t="n">
        <x:v>96.1903</x:v>
      </x:c>
      <x:c r="D412" s="17" t="n">
        <x:v>95.0291</x:v>
      </x:c>
      <x:c r="E412" s="17" t="n">
        <x:f>C412-D412</x:f>
        <x:v>1.1611999999999938</x:v>
      </x:c>
      <x:c r="F412" s="20" t="n">
        <x:f>IFERROR(E412/C412,0)</x:f>
        <x:v>0.012071903300020833</x:v>
      </x:c>
      <x:c r="G412" s="23" t="n">
        <x:v>1544</x:v>
      </x:c>
      <x:c r="H412" s="23" t="n">
        <x:v>97</x:v>
      </x:c>
      <x:c r="I412" s="23"/>
      <x:c r="J412" s="20"/>
      <x:c r="K412" s="26" t="n">
        <x:v>1</x:v>
      </x:c>
      <x:c r="L412" s="26" t="n">
        <x:v>1</x:v>
      </x:c>
      <x:c r="M412" s="14" t="str">
        <x:f>IF(AND(K412=1,L412=1),"both_correct",IF(K412=1,"vanilla_only",IF(L412=1,"candidate_only","both_wrong")))</x:f>
        <x:v>both_correct</x:v>
      </x:c>
      <x:c r="N412" s="26" t="n">
        <x:v>0</x:v>
      </x:c>
      <x:c r="O412" s="26" t="n">
        <x:v>0</x:v>
      </x:c>
    </x:row>
    <x:row r="413" ht="21" customHeight="1">
      <x:c r="A413" s="14" t="str">
        <x:v>NetQAD E2E 规划模块</x:v>
      </x:c>
      <x:c r="B413" s="14" t="str">
        <x:v>TC00000046</x:v>
      </x:c>
      <x:c r="C413" s="17" t="n">
        <x:v>130.2582</x:v>
      </x:c>
      <x:c r="D413" s="17" t="n">
        <x:v>128.5068</x:v>
      </x:c>
      <x:c r="E413" s="17" t="n">
        <x:f>C413-D413</x:f>
        <x:v>1.7513999999999896</x:v>
      </x:c>
      <x:c r="F413" s="20" t="n">
        <x:f>IFERROR(E413/C413,0)</x:f>
        <x:v>0.013445602656876802</x:v>
      </x:c>
      <x:c r="G413" s="23" t="n">
        <x:v>2112</x:v>
      </x:c>
      <x:c r="H413" s="23" t="n">
        <x:v>315</x:v>
      </x:c>
      <x:c r="I413" s="23"/>
      <x:c r="J413" s="20"/>
      <x:c r="K413" s="26" t="n">
        <x:v>1</x:v>
      </x:c>
      <x:c r="L413" s="26" t="n">
        <x:v>1</x:v>
      </x:c>
      <x:c r="M413" s="14" t="str">
        <x:f>IF(AND(K413=1,L413=1),"both_correct",IF(K413=1,"vanilla_only",IF(L413=1,"candidate_only","both_wrong")))</x:f>
        <x:v>both_correct</x:v>
      </x:c>
      <x:c r="N413" s="26" t="n">
        <x:v>0</x:v>
      </x:c>
      <x:c r="O413" s="26" t="n">
        <x:v>0</x:v>
      </x:c>
    </x:row>
    <x:row r="414" ht="21" customHeight="1">
      <x:c r="A414" s="14" t="str">
        <x:v>NetQAD E2E 规划模块</x:v>
      </x:c>
      <x:c r="B414" s="14" t="str">
        <x:v>TC00000047</x:v>
      </x:c>
      <x:c r="C414" s="17" t="n">
        <x:v>156.655</x:v>
      </x:c>
      <x:c r="D414" s="17" t="n">
        <x:v>142.804</x:v>
      </x:c>
      <x:c r="E414" s="17" t="n">
        <x:f>C414-D414</x:f>
        <x:v>13.850999999999999</x:v>
      </x:c>
      <x:c r="F414" s="20" t="n">
        <x:f>IFERROR(E414/C414,0)</x:f>
        <x:v>0.08841722255912673</x:v>
      </x:c>
      <x:c r="G414" s="23" t="n">
        <x:v>2624</x:v>
      </x:c>
      <x:c r="H414" s="23" t="n">
        <x:v>484</x:v>
      </x:c>
      <x:c r="I414" s="23"/>
      <x:c r="J414" s="20"/>
      <x:c r="K414" s="26" t="n">
        <x:v>1</x:v>
      </x:c>
      <x:c r="L414" s="26" t="n">
        <x:v>1</x:v>
      </x:c>
      <x:c r="M414" s="14" t="str">
        <x:f>IF(AND(K414=1,L414=1),"both_correct",IF(K414=1,"vanilla_only",IF(L414=1,"candidate_only","both_wrong")))</x:f>
        <x:v>both_correct</x:v>
      </x:c>
      <x:c r="N414" s="26" t="n">
        <x:v>0</x:v>
      </x:c>
      <x:c r="O414" s="26" t="n">
        <x:v>0</x:v>
      </x:c>
    </x:row>
    <x:row r="415" ht="21" customHeight="1">
      <x:c r="A415" s="14" t="str">
        <x:v>NetQAD E2E 规划模块</x:v>
      </x:c>
      <x:c r="B415" s="14" t="str">
        <x:v>TC00000048</x:v>
      </x:c>
      <x:c r="C415" s="17" t="n">
        <x:v>120.7586</x:v>
      </x:c>
      <x:c r="D415" s="17" t="n">
        <x:v>142.6355</x:v>
      </x:c>
      <x:c r="E415" s="17" t="n">
        <x:f>C415-D415</x:f>
        <x:v>-21.876900000000006</x:v>
      </x:c>
      <x:c r="F415" s="20" t="n">
        <x:f>IFERROR(E415/C415,0)</x:f>
        <x:v>-0.18116225262631402</x:v>
      </x:c>
      <x:c r="G415" s="23" t="n">
        <x:v>2073</x:v>
      </x:c>
      <x:c r="H415" s="23" t="n">
        <x:v>534</x:v>
      </x:c>
      <x:c r="I415" s="23"/>
      <x:c r="J415" s="20"/>
      <x:c r="K415" s="26" t="n">
        <x:v>1</x:v>
      </x:c>
      <x:c r="L415" s="26" t="n">
        <x:v>1</x:v>
      </x:c>
      <x:c r="M415" s="14" t="str">
        <x:f>IF(AND(K415=1,L415=1),"both_correct",IF(K415=1,"vanilla_only",IF(L415=1,"candidate_only","both_wrong")))</x:f>
        <x:v>both_correct</x:v>
      </x:c>
      <x:c r="N415" s="26" t="n">
        <x:v>0</x:v>
      </x:c>
      <x:c r="O415" s="26" t="n">
        <x:v>0</x:v>
      </x:c>
    </x:row>
    <x:row r="416" ht="21" customHeight="1">
      <x:c r="A416" s="14" t="str">
        <x:v>NetQAD E2E 规划模块</x:v>
      </x:c>
      <x:c r="B416" s="14" t="str">
        <x:v>TC00000049</x:v>
      </x:c>
      <x:c r="C416" s="17" t="n">
        <x:v>125.5179</x:v>
      </x:c>
      <x:c r="D416" s="17" t="n">
        <x:v>161.3477</x:v>
      </x:c>
      <x:c r="E416" s="17" t="n">
        <x:f>C416-D416</x:f>
        <x:v>-35.829800000000006</x:v>
      </x:c>
      <x:c r="F416" s="20" t="n">
        <x:f>IFERROR(E416/C416,0)</x:f>
        <x:v>-0.2854556999439921</x:v>
      </x:c>
      <x:c r="G416" s="23" t="n">
        <x:v>2112</x:v>
      </x:c>
      <x:c r="H416" s="23" t="n">
        <x:v>424</x:v>
      </x:c>
      <x:c r="I416" s="23"/>
      <x:c r="J416" s="20"/>
      <x:c r="K416" s="26" t="n">
        <x:v>1</x:v>
      </x:c>
      <x:c r="L416" s="26" t="n">
        <x:v>1</x:v>
      </x:c>
      <x:c r="M416" s="14" t="str">
        <x:f>IF(AND(K416=1,L416=1),"both_correct",IF(K416=1,"vanilla_only",IF(L416=1,"candidate_only","both_wrong")))</x:f>
        <x:v>both_correct</x:v>
      </x:c>
      <x:c r="N416" s="26" t="n">
        <x:v>0</x:v>
      </x:c>
      <x:c r="O416" s="26" t="n">
        <x:v>0</x:v>
      </x:c>
    </x:row>
    <x:row r="417" ht="21" customHeight="1">
      <x:c r="A417" s="14" t="str">
        <x:v>NetQAD E2E 规划模块</x:v>
      </x:c>
      <x:c r="B417" s="14" t="str">
        <x:v>TC00000050</x:v>
      </x:c>
      <x:c r="C417" s="17" t="n">
        <x:v>152.6008</x:v>
      </x:c>
      <x:c r="D417" s="17" t="n">
        <x:v>131.7222</x:v>
      </x:c>
      <x:c r="E417" s="17" t="n">
        <x:f>C417-D417</x:f>
        <x:v>20.878600000000006</x:v>
      </x:c>
      <x:c r="F417" s="20" t="n">
        <x:f>IFERROR(E417/C417,0)</x:f>
        <x:v>0.13681841772782322</x:v>
      </x:c>
      <x:c r="G417" s="23" t="n">
        <x:v>2539</x:v>
      </x:c>
      <x:c r="H417" s="23" t="n">
        <x:v>490</x:v>
      </x:c>
      <x:c r="I417" s="23"/>
      <x:c r="J417" s="20"/>
      <x:c r="K417" s="26" t="n">
        <x:v>1</x:v>
      </x:c>
      <x:c r="L417" s="26" t="n">
        <x:v>1</x:v>
      </x:c>
      <x:c r="M417" s="14" t="str">
        <x:f>IF(AND(K417=1,L417=1),"both_correct",IF(K417=1,"vanilla_only",IF(L417=1,"candidate_only","both_wrong")))</x:f>
        <x:v>both_correct</x:v>
      </x:c>
      <x:c r="N417" s="26" t="n">
        <x:v>0</x:v>
      </x:c>
      <x:c r="O417" s="26" t="n">
        <x:v>0</x:v>
      </x:c>
    </x:row>
    <x:row r="418" ht="21" customHeight="1">
      <x:c r="A418" s="14" t="str">
        <x:v>NetQAD E2E 规划模块</x:v>
      </x:c>
      <x:c r="B418" s="14" t="str">
        <x:v>TC00000051</x:v>
      </x:c>
      <x:c r="C418" s="17" t="n">
        <x:v>152.6705</x:v>
      </x:c>
      <x:c r="D418" s="17" t="n">
        <x:v>163.2645</x:v>
      </x:c>
      <x:c r="E418" s="17" t="n">
        <x:f>C418-D418</x:f>
        <x:v>-10.593999999999994</x:v>
      </x:c>
      <x:c r="F418" s="20" t="n">
        <x:f>IFERROR(E418/C418,0)</x:f>
        <x:v>-0.06939127074320182</x:v>
      </x:c>
      <x:c r="G418" s="23" t="n">
        <x:v>2641</x:v>
      </x:c>
      <x:c r="H418" s="23" t="n">
        <x:v>398</x:v>
      </x:c>
      <x:c r="I418" s="23"/>
      <x:c r="J418" s="20"/>
      <x:c r="K418" s="26" t="n">
        <x:v>1</x:v>
      </x:c>
      <x:c r="L418" s="26" t="n">
        <x:v>1</x:v>
      </x:c>
      <x:c r="M418" s="14" t="str">
        <x:f>IF(AND(K418=1,L418=1),"both_correct",IF(K418=1,"vanilla_only",IF(L418=1,"candidate_only","both_wrong")))</x:f>
        <x:v>both_correct</x:v>
      </x:c>
      <x:c r="N418" s="26" t="n">
        <x:v>0</x:v>
      </x:c>
      <x:c r="O418" s="26" t="n">
        <x:v>0</x:v>
      </x:c>
    </x:row>
    <x:row r="419" ht="21" customHeight="1">
      <x:c r="A419" s="14" t="str">
        <x:v>NetQAD E2E 规划模块</x:v>
      </x:c>
      <x:c r="B419" s="14" t="str">
        <x:v>TC00000052</x:v>
      </x:c>
      <x:c r="C419" s="17" t="n">
        <x:v>123.6578</x:v>
      </x:c>
      <x:c r="D419" s="17" t="n">
        <x:v>142.2332</x:v>
      </x:c>
      <x:c r="E419" s="17" t="n">
        <x:f>C419-D419</x:f>
        <x:v>-18.575400000000016</x:v>
      </x:c>
      <x:c r="F419" s="20" t="n">
        <x:f>IFERROR(E419/C419,0)</x:f>
        <x:v>-0.15021616105090027</x:v>
      </x:c>
      <x:c r="G419" s="23" t="n">
        <x:v>1911</x:v>
      </x:c>
      <x:c r="H419" s="23" t="n">
        <x:v>445</x:v>
      </x:c>
      <x:c r="I419" s="23"/>
      <x:c r="J419" s="20"/>
      <x:c r="K419" s="26" t="n">
        <x:v>1</x:v>
      </x:c>
      <x:c r="L419" s="26" t="n">
        <x:v>1</x:v>
      </x:c>
      <x:c r="M419" s="14" t="str">
        <x:f>IF(AND(K419=1,L419=1),"both_correct",IF(K419=1,"vanilla_only",IF(L419=1,"candidate_only","both_wrong")))</x:f>
        <x:v>both_correct</x:v>
      </x:c>
      <x:c r="N419" s="26" t="n">
        <x:v>0</x:v>
      </x:c>
      <x:c r="O419" s="26" t="n">
        <x:v>0</x:v>
      </x:c>
    </x:row>
    <x:row r="420" ht="21" customHeight="1">
      <x:c r="A420" s="14" t="str">
        <x:v>NetQAD E2E 规划模块</x:v>
      </x:c>
      <x:c r="B420" s="14" t="str">
        <x:v>TC00000053</x:v>
      </x:c>
      <x:c r="C420" s="17" t="n">
        <x:v>112.3405</x:v>
      </x:c>
      <x:c r="D420" s="17" t="n">
        <x:v>88.3099</x:v>
      </x:c>
      <x:c r="E420" s="17" t="n">
        <x:f>C420-D420</x:f>
        <x:v>24.030600000000007</x:v>
      </x:c>
      <x:c r="F420" s="20" t="n">
        <x:f>IFERROR(E420/C420,0)</x:f>
        <x:v>0.21390860820452112</x:v>
      </x:c>
      <x:c r="G420" s="23" t="n">
        <x:v>1815</x:v>
      </x:c>
      <x:c r="H420" s="23" t="n">
        <x:v>208</x:v>
      </x:c>
      <x:c r="I420" s="23"/>
      <x:c r="J420" s="20"/>
      <x:c r="K420" s="26" t="n">
        <x:v>1</x:v>
      </x:c>
      <x:c r="L420" s="26" t="n">
        <x:v>1</x:v>
      </x:c>
      <x:c r="M420" s="14" t="str">
        <x:f>IF(AND(K420=1,L420=1),"both_correct",IF(K420=1,"vanilla_only",IF(L420=1,"candidate_only","both_wrong")))</x:f>
        <x:v>both_correct</x:v>
      </x:c>
      <x:c r="N420" s="26" t="n">
        <x:v>0</x:v>
      </x:c>
      <x:c r="O420" s="26" t="n">
        <x:v>0</x:v>
      </x:c>
    </x:row>
    <x:row r="421" ht="21" customHeight="1">
      <x:c r="A421" s="14" t="str">
        <x:v>NetQAD E2E 规划模块</x:v>
      </x:c>
      <x:c r="B421" s="14" t="str">
        <x:v>TC00000055</x:v>
      </x:c>
      <x:c r="C421" s="17" t="n">
        <x:v>136.4642</x:v>
      </x:c>
      <x:c r="D421" s="17" t="n">
        <x:v>144.498</x:v>
      </x:c>
      <x:c r="E421" s="17" t="n">
        <x:f>C421-D421</x:f>
        <x:v>-8.033799999999985</x:v>
      </x:c>
      <x:c r="F421" s="20" t="n">
        <x:f>IFERROR(E421/C421,0)</x:f>
        <x:v>-0.058871117846292176</x:v>
      </x:c>
      <x:c r="G421" s="23" t="n">
        <x:v>2431</x:v>
      </x:c>
      <x:c r="H421" s="23" t="n">
        <x:v>279</x:v>
      </x:c>
      <x:c r="I421" s="23"/>
      <x:c r="J421" s="20"/>
      <x:c r="K421" s="26" t="n">
        <x:v>1</x:v>
      </x:c>
      <x:c r="L421" s="26" t="n">
        <x:v>1</x:v>
      </x:c>
      <x:c r="M421" s="14" t="str">
        <x:f>IF(AND(K421=1,L421=1),"both_correct",IF(K421=1,"vanilla_only",IF(L421=1,"candidate_only","both_wrong")))</x:f>
        <x:v>both_correct</x:v>
      </x:c>
      <x:c r="N421" s="26" t="n">
        <x:v>0</x:v>
      </x:c>
      <x:c r="O421" s="26" t="n">
        <x:v>0</x:v>
      </x:c>
    </x:row>
    <x:row r="422" ht="21" customHeight="1">
      <x:c r="A422" s="14" t="str">
        <x:v>NetQAD E2E 规划模块</x:v>
      </x:c>
      <x:c r="B422" s="14" t="str">
        <x:v>TC00000056</x:v>
      </x:c>
      <x:c r="C422" s="17" t="n">
        <x:v>126.0873</x:v>
      </x:c>
      <x:c r="D422" s="17" t="n">
        <x:v>127.1037</x:v>
      </x:c>
      <x:c r="E422" s="17" t="n">
        <x:f>C422-D422</x:f>
        <x:v>-1.0164000000000044</x:v>
      </x:c>
      <x:c r="F422" s="20" t="n">
        <x:f>IFERROR(E422/C422,0)</x:f>
        <x:v>-0.008061081488778049</x:v>
      </x:c>
      <x:c r="G422" s="23" t="n">
        <x:v>2098</x:v>
      </x:c>
      <x:c r="H422" s="23" t="n">
        <x:v>342</x:v>
      </x:c>
      <x:c r="I422" s="23"/>
      <x:c r="J422" s="20"/>
      <x:c r="K422" s="26" t="n">
        <x:v>1</x:v>
      </x:c>
      <x:c r="L422" s="26" t="n">
        <x:v>1</x:v>
      </x:c>
      <x:c r="M422" s="14" t="str">
        <x:f>IF(AND(K422=1,L422=1),"both_correct",IF(K422=1,"vanilla_only",IF(L422=1,"candidate_only","both_wrong")))</x:f>
        <x:v>both_correct</x:v>
      </x:c>
      <x:c r="N422" s="26" t="n">
        <x:v>0</x:v>
      </x:c>
      <x:c r="O422" s="26" t="n">
        <x:v>0</x:v>
      </x:c>
    </x:row>
    <x:row r="423" ht="21" customHeight="1">
      <x:c r="A423" s="14" t="str">
        <x:v>NetQAD E2E 规划模块</x:v>
      </x:c>
      <x:c r="B423" s="14" t="str">
        <x:v>TC00000057</x:v>
      </x:c>
      <x:c r="C423" s="17" t="n">
        <x:v>121.1592</x:v>
      </x:c>
      <x:c r="D423" s="17" t="n">
        <x:v>133.996</x:v>
      </x:c>
      <x:c r="E423" s="17" t="n">
        <x:f>C423-D423</x:f>
        <x:v>-12.83680000000001</x:v>
      </x:c>
      <x:c r="F423" s="20" t="n">
        <x:f>IFERROR(E423/C423,0)</x:f>
        <x:v>-0.10594985770787535</x:v>
      </x:c>
      <x:c r="G423" s="23" t="n">
        <x:v>2105</x:v>
      </x:c>
      <x:c r="H423" s="23" t="n">
        <x:v>520</x:v>
      </x:c>
      <x:c r="I423" s="23"/>
      <x:c r="J423" s="20"/>
      <x:c r="K423" s="26" t="n">
        <x:v>1</x:v>
      </x:c>
      <x:c r="L423" s="26" t="n">
        <x:v>1</x:v>
      </x:c>
      <x:c r="M423" s="14" t="str">
        <x:f>IF(AND(K423=1,L423=1),"both_correct",IF(K423=1,"vanilla_only",IF(L423=1,"candidate_only","both_wrong")))</x:f>
        <x:v>both_correct</x:v>
      </x:c>
      <x:c r="N423" s="26" t="n">
        <x:v>0</x:v>
      </x:c>
      <x:c r="O423" s="26" t="n">
        <x:v>0</x:v>
      </x:c>
    </x:row>
    <x:row r="424" ht="21" customHeight="1">
      <x:c r="A424" s="14" t="str">
        <x:v>NetQAD E2E 规划模块</x:v>
      </x:c>
      <x:c r="B424" s="14" t="str">
        <x:v>TC00000058</x:v>
      </x:c>
      <x:c r="C424" s="17" t="n">
        <x:v>112.994</x:v>
      </x:c>
      <x:c r="D424" s="17" t="n">
        <x:v>124.3663</x:v>
      </x:c>
      <x:c r="E424" s="17" t="n">
        <x:f>C424-D424</x:f>
        <x:v>-11.372299999999996</x:v>
      </x:c>
      <x:c r="F424" s="20" t="n">
        <x:f>IFERROR(E424/C424,0)</x:f>
        <x:v>-0.10064516700001766</x:v>
      </x:c>
      <x:c r="G424" s="23" t="n">
        <x:v>1846</x:v>
      </x:c>
      <x:c r="H424" s="23" t="n">
        <x:v>328</x:v>
      </x:c>
      <x:c r="I424" s="23"/>
      <x:c r="J424" s="20"/>
      <x:c r="K424" s="26" t="n">
        <x:v>1</x:v>
      </x:c>
      <x:c r="L424" s="26" t="n">
        <x:v>1</x:v>
      </x:c>
      <x:c r="M424" s="14" t="str">
        <x:f>IF(AND(K424=1,L424=1),"both_correct",IF(K424=1,"vanilla_only",IF(L424=1,"candidate_only","both_wrong")))</x:f>
        <x:v>both_correct</x:v>
      </x:c>
      <x:c r="N424" s="26" t="n">
        <x:v>0</x:v>
      </x:c>
      <x:c r="O424" s="26" t="n">
        <x:v>0</x:v>
      </x:c>
    </x:row>
    <x:row r="425" ht="21" customHeight="1">
      <x:c r="A425" s="14" t="str">
        <x:v>NetQAD E2E 规划模块</x:v>
      </x:c>
      <x:c r="B425" s="14" t="str">
        <x:v>TC00000059</x:v>
      </x:c>
      <x:c r="C425" s="17" t="n">
        <x:v>122.9213</x:v>
      </x:c>
      <x:c r="D425" s="17" t="n">
        <x:v>132.1549</x:v>
      </x:c>
      <x:c r="E425" s="17" t="n">
        <x:f>C425-D425</x:f>
        <x:v>-9.233599999999996</x:v>
      </x:c>
      <x:c r="F425" s="20" t="n">
        <x:f>IFERROR(E425/C425,0)</x:f>
        <x:v>-0.07511798199335669</x:v>
      </x:c>
      <x:c r="G425" s="23" t="n">
        <x:v>2039</x:v>
      </x:c>
      <x:c r="H425" s="23" t="n">
        <x:v>364</x:v>
      </x:c>
      <x:c r="I425" s="23"/>
      <x:c r="J425" s="20"/>
      <x:c r="K425" s="26" t="n">
        <x:v>1</x:v>
      </x:c>
      <x:c r="L425" s="26" t="n">
        <x:v>1</x:v>
      </x:c>
      <x:c r="M425" s="14" t="str">
        <x:f>IF(AND(K425=1,L425=1),"both_correct",IF(K425=1,"vanilla_only",IF(L425=1,"candidate_only","both_wrong")))</x:f>
        <x:v>both_correct</x:v>
      </x:c>
      <x:c r="N425" s="26" t="n">
        <x:v>0</x:v>
      </x:c>
      <x:c r="O425" s="26" t="n">
        <x:v>0</x:v>
      </x:c>
    </x:row>
    <x:row r="426" ht="21" customHeight="1">
      <x:c r="A426" s="14" t="str">
        <x:v>NetQAD E2E 规划模块</x:v>
      </x:c>
      <x:c r="B426" s="14" t="str">
        <x:v>TC00000060</x:v>
      </x:c>
      <x:c r="C426" s="17" t="n">
        <x:v>100.7803</x:v>
      </x:c>
      <x:c r="D426" s="17" t="n">
        <x:v>107.3238</x:v>
      </x:c>
      <x:c r="E426" s="17" t="n">
        <x:f>C426-D426</x:f>
        <x:v>-6.543500000000009</x:v>
      </x:c>
      <x:c r="F426" s="20" t="n">
        <x:f>IFERROR(E426/C426,0)</x:f>
        <x:v>-0.06492836397589617</x:v>
      </x:c>
      <x:c r="G426" s="23" t="n">
        <x:v>1638</x:v>
      </x:c>
      <x:c r="H426" s="23" t="n">
        <x:v>288</x:v>
      </x:c>
      <x:c r="I426" s="23"/>
      <x:c r="J426" s="20"/>
      <x:c r="K426" s="26" t="n">
        <x:v>1</x:v>
      </x:c>
      <x:c r="L426" s="26" t="n">
        <x:v>1</x:v>
      </x:c>
      <x:c r="M426" s="14" t="str">
        <x:f>IF(AND(K426=1,L426=1),"both_correct",IF(K426=1,"vanilla_only",IF(L426=1,"candidate_only","both_wrong")))</x:f>
        <x:v>both_correct</x:v>
      </x:c>
      <x:c r="N426" s="26" t="n">
        <x:v>0</x:v>
      </x:c>
      <x:c r="O426" s="26" t="n">
        <x:v>0</x:v>
      </x:c>
    </x:row>
    <x:row r="427" ht="21" customHeight="1">
      <x:c r="A427" s="14" t="str">
        <x:v>NetQAD E2E 规划模块</x:v>
      </x:c>
      <x:c r="B427" s="14" t="str">
        <x:v>TC00000062</x:v>
      </x:c>
      <x:c r="C427" s="17" t="n">
        <x:v>109.5187</x:v>
      </x:c>
      <x:c r="D427" s="17" t="n">
        <x:v>139.0013</x:v>
      </x:c>
      <x:c r="E427" s="17" t="n">
        <x:f>C427-D427</x:f>
        <x:v>-29.48259999999999</x:v>
      </x:c>
      <x:c r="F427" s="20" t="n">
        <x:f>IFERROR(E427/C427,0)</x:f>
        <x:v>-0.2692015153576512</x:v>
      </x:c>
      <x:c r="G427" s="23" t="n">
        <x:v>1795</x:v>
      </x:c>
      <x:c r="H427" s="23" t="n">
        <x:v>304</x:v>
      </x:c>
      <x:c r="I427" s="23"/>
      <x:c r="J427" s="20"/>
      <x:c r="K427" s="26" t="n">
        <x:v>1</x:v>
      </x:c>
      <x:c r="L427" s="26" t="n">
        <x:v>1</x:v>
      </x:c>
      <x:c r="M427" s="14" t="str">
        <x:f>IF(AND(K427=1,L427=1),"both_correct",IF(K427=1,"vanilla_only",IF(L427=1,"candidate_only","both_wrong")))</x:f>
        <x:v>both_correct</x:v>
      </x:c>
      <x:c r="N427" s="26" t="n">
        <x:v>0</x:v>
      </x:c>
      <x:c r="O427" s="26" t="n">
        <x:v>0</x:v>
      </x:c>
    </x:row>
    <x:row r="428" ht="21" customHeight="1">
      <x:c r="A428" s="14" t="str">
        <x:v>NetQAD E2E 规划模块</x:v>
      </x:c>
      <x:c r="B428" s="14" t="str">
        <x:v>TC00000063</x:v>
      </x:c>
      <x:c r="C428" s="17" t="n">
        <x:v>161.9983</x:v>
      </x:c>
      <x:c r="D428" s="17" t="n">
        <x:v>161.3289</x:v>
      </x:c>
      <x:c r="E428" s="17" t="n">
        <x:f>C428-D428</x:f>
        <x:v>0.669399999999996</x:v>
      </x:c>
      <x:c r="F428" s="20" t="n">
        <x:f>IFERROR(E428/C428,0)</x:f>
        <x:v>0.0041321421274173615</x:v>
      </x:c>
      <x:c r="G428" s="23" t="n">
        <x:v>2899</x:v>
      </x:c>
      <x:c r="H428" s="23" t="n">
        <x:v>467</x:v>
      </x:c>
      <x:c r="I428" s="23"/>
      <x:c r="J428" s="20"/>
      <x:c r="K428" s="26" t="n">
        <x:v>1</x:v>
      </x:c>
      <x:c r="L428" s="26" t="n">
        <x:v>1</x:v>
      </x:c>
      <x:c r="M428" s="14" t="str">
        <x:f>IF(AND(K428=1,L428=1),"both_correct",IF(K428=1,"vanilla_only",IF(L428=1,"candidate_only","both_wrong")))</x:f>
        <x:v>both_correct</x:v>
      </x:c>
      <x:c r="N428" s="26" t="n">
        <x:v>0</x:v>
      </x:c>
      <x:c r="O428" s="26" t="n">
        <x:v>0</x:v>
      </x:c>
    </x:row>
    <x:row r="429" ht="21" customHeight="1">
      <x:c r="A429" s="14" t="str">
        <x:v>NetQAD E2E 规划模块</x:v>
      </x:c>
      <x:c r="B429" s="14" t="str">
        <x:v>TC00000064</x:v>
      </x:c>
      <x:c r="C429" s="17" t="n">
        <x:v>155.9863</x:v>
      </x:c>
      <x:c r="D429" s="17" t="n">
        <x:v>135.836</x:v>
      </x:c>
      <x:c r="E429" s="17" t="n">
        <x:f>C429-D429</x:f>
        <x:v>20.150299999999987</x:v>
      </x:c>
      <x:c r="F429" s="20" t="n">
        <x:f>IFERROR(E429/C429,0)</x:f>
        <x:v>0.12917993439167405</x:v>
      </x:c>
      <x:c r="G429" s="23" t="n">
        <x:v>2626</x:v>
      </x:c>
      <x:c r="H429" s="23" t="n">
        <x:v>237</x:v>
      </x:c>
      <x:c r="I429" s="23"/>
      <x:c r="J429" s="20"/>
      <x:c r="K429" s="26" t="n">
        <x:v>1</x:v>
      </x:c>
      <x:c r="L429" s="26" t="n">
        <x:v>1</x:v>
      </x:c>
      <x:c r="M429" s="14" t="str">
        <x:f>IF(AND(K429=1,L429=1),"both_correct",IF(K429=1,"vanilla_only",IF(L429=1,"candidate_only","both_wrong")))</x:f>
        <x:v>both_correct</x:v>
      </x:c>
      <x:c r="N429" s="26" t="n">
        <x:v>0</x:v>
      </x:c>
      <x:c r="O429" s="26" t="n">
        <x:v>0</x:v>
      </x:c>
    </x:row>
    <x:row r="430" ht="21" customHeight="1">
      <x:c r="A430" s="14" t="str">
        <x:v>NetQAD E2E 规划模块</x:v>
      </x:c>
      <x:c r="B430" s="14" t="str">
        <x:v>TC00000065</x:v>
      </x:c>
      <x:c r="C430" s="17" t="n">
        <x:v>107.5563</x:v>
      </x:c>
      <x:c r="D430" s="17" t="n">
        <x:v>106.1713</x:v>
      </x:c>
      <x:c r="E430" s="17" t="n">
        <x:f>C430-D430</x:f>
        <x:v>1.384999999999991</x:v>
      </x:c>
      <x:c r="F430" s="20" t="n">
        <x:f>IFERROR(E430/C430,0)</x:f>
        <x:v>0.012876976987865807</x:v>
      </x:c>
      <x:c r="G430" s="23" t="n">
        <x:v>1754</x:v>
      </x:c>
      <x:c r="H430" s="23" t="n">
        <x:v>119</x:v>
      </x:c>
      <x:c r="I430" s="23"/>
      <x:c r="J430" s="20"/>
      <x:c r="K430" s="26" t="n">
        <x:v>1</x:v>
      </x:c>
      <x:c r="L430" s="26" t="n">
        <x:v>1</x:v>
      </x:c>
      <x:c r="M430" s="14" t="str">
        <x:f>IF(AND(K430=1,L430=1),"both_correct",IF(K430=1,"vanilla_only",IF(L430=1,"candidate_only","both_wrong")))</x:f>
        <x:v>both_correct</x:v>
      </x:c>
      <x:c r="N430" s="26" t="n">
        <x:v>0</x:v>
      </x:c>
      <x:c r="O430" s="26" t="n">
        <x:v>0</x:v>
      </x:c>
    </x:row>
    <x:row r="431" ht="21" customHeight="1">
      <x:c r="A431" s="14" t="str">
        <x:v>NetQAD E2E 规划模块</x:v>
      </x:c>
      <x:c r="B431" s="14" t="str">
        <x:v>TC00000066</x:v>
      </x:c>
      <x:c r="C431" s="17" t="n">
        <x:v>97.5766</x:v>
      </x:c>
      <x:c r="D431" s="17" t="n">
        <x:v>106.1347</x:v>
      </x:c>
      <x:c r="E431" s="17" t="n">
        <x:f>C431-D431</x:f>
        <x:v>-8.558099999999996</x:v>
      </x:c>
      <x:c r="F431" s="20" t="n">
        <x:f>IFERROR(E431/C431,0)</x:f>
        <x:v>-0.08770647880741896</x:v>
      </x:c>
      <x:c r="G431" s="23" t="n">
        <x:v>1469</x:v>
      </x:c>
      <x:c r="H431" s="23" t="n">
        <x:v>117</x:v>
      </x:c>
      <x:c r="I431" s="23"/>
      <x:c r="J431" s="20"/>
      <x:c r="K431" s="26" t="n">
        <x:v>1</x:v>
      </x:c>
      <x:c r="L431" s="26" t="n">
        <x:v>1</x:v>
      </x:c>
      <x:c r="M431" s="14" t="str">
        <x:f>IF(AND(K431=1,L431=1),"both_correct",IF(K431=1,"vanilla_only",IF(L431=1,"candidate_only","both_wrong")))</x:f>
        <x:v>both_correct</x:v>
      </x:c>
      <x:c r="N431" s="26" t="n">
        <x:v>0</x:v>
      </x:c>
      <x:c r="O431" s="26" t="n">
        <x:v>0</x:v>
      </x:c>
    </x:row>
    <x:row r="432" ht="21" customHeight="1">
      <x:c r="A432" s="14" t="str">
        <x:v>NetQAD E2E 规划模块</x:v>
      </x:c>
      <x:c r="B432" s="14" t="str">
        <x:v>TC00000068</x:v>
      </x:c>
      <x:c r="C432" s="17" t="n">
        <x:v>175.3577</x:v>
      </x:c>
      <x:c r="D432" s="17" t="n">
        <x:v>152.0546</x:v>
      </x:c>
      <x:c r="E432" s="17" t="n">
        <x:f>C432-D432</x:f>
        <x:v>23.3031</x:v>
      </x:c>
      <x:c r="F432" s="20" t="n">
        <x:f>IFERROR(E432/C432,0)</x:f>
        <x:v>0.1328889464220847</x:v>
      </x:c>
      <x:c r="G432" s="23" t="n">
        <x:v>2870</x:v>
      </x:c>
      <x:c r="H432" s="23" t="n">
        <x:v>303</x:v>
      </x:c>
      <x:c r="I432" s="23"/>
      <x:c r="J432" s="20"/>
      <x:c r="K432" s="26" t="n">
        <x:v>1</x:v>
      </x:c>
      <x:c r="L432" s="26" t="n">
        <x:v>1</x:v>
      </x:c>
      <x:c r="M432" s="14" t="str">
        <x:f>IF(AND(K432=1,L432=1),"both_correct",IF(K432=1,"vanilla_only",IF(L432=1,"candidate_only","both_wrong")))</x:f>
        <x:v>both_correct</x:v>
      </x:c>
      <x:c r="N432" s="26" t="n">
        <x:v>0</x:v>
      </x:c>
      <x:c r="O432" s="26" t="n">
        <x:v>0</x:v>
      </x:c>
    </x:row>
    <x:row r="433" ht="21" customHeight="1">
      <x:c r="A433" s="14" t="str">
        <x:v>NetQAD E2E 规划模块</x:v>
      </x:c>
      <x:c r="B433" s="14" t="str">
        <x:v>TC00000069</x:v>
      </x:c>
      <x:c r="C433" s="17" t="n">
        <x:v>143.0341</x:v>
      </x:c>
      <x:c r="D433" s="17" t="n">
        <x:v>113.832</x:v>
      </x:c>
      <x:c r="E433" s="17" t="n">
        <x:f>C433-D433</x:f>
        <x:v>29.2021</x:v>
      </x:c>
      <x:c r="F433" s="20" t="n">
        <x:f>IFERROR(E433/C433,0)</x:f>
        <x:v>0.2041618047724284</x:v>
      </x:c>
      <x:c r="G433" s="23" t="n">
        <x:v>2356</x:v>
      </x:c>
      <x:c r="H433" s="23" t="n">
        <x:v>189</x:v>
      </x:c>
      <x:c r="I433" s="23"/>
      <x:c r="J433" s="20"/>
      <x:c r="K433" s="26" t="n">
        <x:v>1</x:v>
      </x:c>
      <x:c r="L433" s="26" t="n">
        <x:v>1</x:v>
      </x:c>
      <x:c r="M433" s="14" t="str">
        <x:f>IF(AND(K433=1,L433=1),"both_correct",IF(K433=1,"vanilla_only",IF(L433=1,"candidate_only","both_wrong")))</x:f>
        <x:v>both_correct</x:v>
      </x:c>
      <x:c r="N433" s="26" t="n">
        <x:v>0</x:v>
      </x:c>
      <x:c r="O433" s="26" t="n">
        <x:v>0</x:v>
      </x:c>
    </x:row>
    <x:row r="434" ht="21" customHeight="1">
      <x:c r="A434" s="14" t="str">
        <x:v>NetQAD E2E 规划模块</x:v>
      </x:c>
      <x:c r="B434" s="14" t="str">
        <x:v>TC00000070</x:v>
      </x:c>
      <x:c r="C434" s="17" t="n">
        <x:v>104.8309</x:v>
      </x:c>
      <x:c r="D434" s="17" t="n">
        <x:v>113.5658</x:v>
      </x:c>
      <x:c r="E434" s="17" t="n">
        <x:f>C434-D434</x:f>
        <x:v>-8.734899999999996</x:v>
      </x:c>
      <x:c r="F434" s="20" t="n">
        <x:f>IFERROR(E434/C434,0)</x:f>
        <x:v>-0.08332371466809878</x:v>
      </x:c>
      <x:c r="G434" s="23" t="n">
        <x:v>1710</x:v>
      </x:c>
      <x:c r="H434" s="23" t="n">
        <x:v>150</x:v>
      </x:c>
      <x:c r="I434" s="23"/>
      <x:c r="J434" s="20"/>
      <x:c r="K434" s="26" t="n">
        <x:v>1</x:v>
      </x:c>
      <x:c r="L434" s="26" t="n">
        <x:v>1</x:v>
      </x:c>
      <x:c r="M434" s="14" t="str">
        <x:f>IF(AND(K434=1,L434=1),"both_correct",IF(K434=1,"vanilla_only",IF(L434=1,"candidate_only","both_wrong")))</x:f>
        <x:v>both_correct</x:v>
      </x:c>
      <x:c r="N434" s="26" t="n">
        <x:v>0</x:v>
      </x:c>
      <x:c r="O434" s="26" t="n">
        <x:v>0</x:v>
      </x:c>
    </x:row>
    <x:row r="435" ht="21" customHeight="1">
      <x:c r="A435" s="14" t="str">
        <x:v>NetQAD E2E 规划模块</x:v>
      </x:c>
      <x:c r="B435" s="14" t="str">
        <x:v>TC00000071</x:v>
      </x:c>
      <x:c r="C435" s="17" t="n">
        <x:v>118.5191</x:v>
      </x:c>
      <x:c r="D435" s="17" t="n">
        <x:v>120.6742</x:v>
      </x:c>
      <x:c r="E435" s="17" t="n">
        <x:f>C435-D435</x:f>
        <x:v>-2.1551000000000045</x:v>
      </x:c>
      <x:c r="F435" s="20" t="n">
        <x:f>IFERROR(E435/C435,0)</x:f>
        <x:v>-0.018183567036874265</x:v>
      </x:c>
      <x:c r="G435" s="23" t="n">
        <x:v>1888</x:v>
      </x:c>
      <x:c r="H435" s="23" t="n">
        <x:v>280</x:v>
      </x:c>
      <x:c r="I435" s="23"/>
      <x:c r="J435" s="20"/>
      <x:c r="K435" s="26" t="n">
        <x:v>1</x:v>
      </x:c>
      <x:c r="L435" s="26" t="n">
        <x:v>1</x:v>
      </x:c>
      <x:c r="M435" s="14" t="str">
        <x:f>IF(AND(K435=1,L435=1),"both_correct",IF(K435=1,"vanilla_only",IF(L435=1,"candidate_only","both_wrong")))</x:f>
        <x:v>both_correct</x:v>
      </x:c>
      <x:c r="N435" s="26" t="n">
        <x:v>0</x:v>
      </x:c>
      <x:c r="O435" s="26" t="n">
        <x:v>0</x:v>
      </x:c>
    </x:row>
    <x:row r="436" ht="21" customHeight="1">
      <x:c r="A436" s="14" t="str">
        <x:v>NetQAD E2E 规划模块</x:v>
      </x:c>
      <x:c r="B436" s="14" t="str">
        <x:v>TC00000072</x:v>
      </x:c>
      <x:c r="C436" s="17" t="n">
        <x:v>129.3632</x:v>
      </x:c>
      <x:c r="D436" s="17" t="n">
        <x:v>140.1719</x:v>
      </x:c>
      <x:c r="E436" s="17" t="n">
        <x:f>C436-D436</x:f>
        <x:v>-10.808699999999988</x:v>
      </x:c>
      <x:c r="F436" s="20" t="n">
        <x:f>IFERROR(E436/C436,0)</x:f>
        <x:v>-0.08355312793746589</x:v>
      </x:c>
      <x:c r="G436" s="23" t="n">
        <x:v>2265</x:v>
      </x:c>
      <x:c r="H436" s="23" t="n">
        <x:v>221</x:v>
      </x:c>
      <x:c r="I436" s="23"/>
      <x:c r="J436" s="20"/>
      <x:c r="K436" s="26" t="n">
        <x:v>1</x:v>
      </x:c>
      <x:c r="L436" s="26" t="n">
        <x:v>1</x:v>
      </x:c>
      <x:c r="M436" s="14" t="str">
        <x:f>IF(AND(K436=1,L436=1),"both_correct",IF(K436=1,"vanilla_only",IF(L436=1,"candidate_only","both_wrong")))</x:f>
        <x:v>both_correct</x:v>
      </x:c>
      <x:c r="N436" s="26" t="n">
        <x:v>0</x:v>
      </x:c>
      <x:c r="O436" s="26" t="n">
        <x:v>0</x:v>
      </x:c>
    </x:row>
    <x:row r="437" ht="21" customHeight="1">
      <x:c r="A437" s="14" t="str">
        <x:v>NetQAD E2E 规划模块</x:v>
      </x:c>
      <x:c r="B437" s="14" t="str">
        <x:v>TC00000076</x:v>
      </x:c>
      <x:c r="C437" s="17" t="n">
        <x:v>155.6581</x:v>
      </x:c>
      <x:c r="D437" s="17" t="n">
        <x:v>144.5045</x:v>
      </x:c>
      <x:c r="E437" s="17" t="n">
        <x:f>C437-D437</x:f>
        <x:v>11.153599999999983</x:v>
      </x:c>
      <x:c r="F437" s="20" t="n">
        <x:f>IFERROR(E437/C437,0)</x:f>
        <x:v>0.07165447862976602</x:v>
      </x:c>
      <x:c r="G437" s="23" t="n">
        <x:v>2598</x:v>
      </x:c>
      <x:c r="H437" s="23" t="n">
        <x:v>313</x:v>
      </x:c>
      <x:c r="I437" s="23"/>
      <x:c r="J437" s="20"/>
      <x:c r="K437" s="26" t="n">
        <x:v>1</x:v>
      </x:c>
      <x:c r="L437" s="26" t="n">
        <x:v>1</x:v>
      </x:c>
      <x:c r="M437" s="14" t="str">
        <x:f>IF(AND(K437=1,L437=1),"both_correct",IF(K437=1,"vanilla_only",IF(L437=1,"candidate_only","both_wrong")))</x:f>
        <x:v>both_correct</x:v>
      </x:c>
      <x:c r="N437" s="26" t="n">
        <x:v>0</x:v>
      </x:c>
      <x:c r="O437" s="26" t="n">
        <x:v>0</x:v>
      </x:c>
    </x:row>
    <x:row r="438" ht="21" customHeight="1">
      <x:c r="A438" s="14" t="str">
        <x:v>NetQAD E2E 规划模块</x:v>
      </x:c>
      <x:c r="B438" s="14" t="str">
        <x:v>TC00000085</x:v>
      </x:c>
      <x:c r="C438" s="17" t="n">
        <x:v>139.0902</x:v>
      </x:c>
      <x:c r="D438" s="17" t="n">
        <x:v>168.4689</x:v>
      </x:c>
      <x:c r="E438" s="17" t="n">
        <x:f>C438-D438</x:f>
        <x:v>-29.37869999999998</x:v>
      </x:c>
      <x:c r="F438" s="20" t="n">
        <x:f>IFERROR(E438/C438,0)</x:f>
        <x:v>-0.21122048857503964</x:v>
      </x:c>
      <x:c r="G438" s="23" t="n">
        <x:v>2285</x:v>
      </x:c>
      <x:c r="H438" s="23" t="n">
        <x:v>330</x:v>
      </x:c>
      <x:c r="I438" s="23"/>
      <x:c r="J438" s="20"/>
      <x:c r="K438" s="26" t="n">
        <x:v>1</x:v>
      </x:c>
      <x:c r="L438" s="26" t="n">
        <x:v>1</x:v>
      </x:c>
      <x:c r="M438" s="14" t="str">
        <x:f>IF(AND(K438=1,L438=1),"both_correct",IF(K438=1,"vanilla_only",IF(L438=1,"candidate_only","both_wrong")))</x:f>
        <x:v>both_correct</x:v>
      </x:c>
      <x:c r="N438" s="26" t="n">
        <x:v>0</x:v>
      </x:c>
      <x:c r="O438" s="26" t="n">
        <x:v>0</x:v>
      </x:c>
    </x:row>
    <x:row r="439" ht="21" customHeight="1">
      <x:c r="A439" s="14" t="str">
        <x:v>NetQAD E2E 规划模块</x:v>
      </x:c>
      <x:c r="B439" s="14" t="str">
        <x:v>TC00000089</x:v>
      </x:c>
      <x:c r="C439" s="17" t="n">
        <x:v>133.8903</x:v>
      </x:c>
      <x:c r="D439" s="17" t="n">
        <x:v>133.6398</x:v>
      </x:c>
      <x:c r="E439" s="17" t="n">
        <x:f>C439-D439</x:f>
        <x:v>0.2504999999999882</x:v>
      </x:c>
      <x:c r="F439" s="20" t="n">
        <x:f>IFERROR(E439/C439,0)</x:f>
        <x:v>0.0018709346382821473</x:v>
      </x:c>
      <x:c r="G439" s="23" t="n">
        <x:v>2282</x:v>
      </x:c>
      <x:c r="H439" s="23" t="n">
        <x:v>225</x:v>
      </x:c>
      <x:c r="I439" s="23"/>
      <x:c r="J439" s="20"/>
      <x:c r="K439" s="26" t="n">
        <x:v>1</x:v>
      </x:c>
      <x:c r="L439" s="26" t="n">
        <x:v>1</x:v>
      </x:c>
      <x:c r="M439" s="14" t="str">
        <x:f>IF(AND(K439=1,L439=1),"both_correct",IF(K439=1,"vanilla_only",IF(L439=1,"candidate_only","both_wrong")))</x:f>
        <x:v>both_correct</x:v>
      </x:c>
      <x:c r="N439" s="26" t="n">
        <x:v>0</x:v>
      </x:c>
      <x:c r="O439" s="26" t="n">
        <x:v>0</x:v>
      </x:c>
    </x:row>
    <x:row r="440" ht="21" customHeight="1">
      <x:c r="A440" s="14" t="str">
        <x:v>NetQAD E2E 规划模块</x:v>
      </x:c>
      <x:c r="B440" s="14" t="str">
        <x:v>TC00000091</x:v>
      </x:c>
      <x:c r="C440" s="17" t="n">
        <x:v>146.9161</x:v>
      </x:c>
      <x:c r="D440" s="17" t="n">
        <x:v>125.8206</x:v>
      </x:c>
      <x:c r="E440" s="17" t="n">
        <x:f>C440-D440</x:f>
        <x:v>21.0955</x:v>
      </x:c>
      <x:c r="F440" s="20" t="n">
        <x:f>IFERROR(E440/C440,0)</x:f>
        <x:v>0.14358875575923946</x:v>
      </x:c>
      <x:c r="G440" s="23" t="n">
        <x:v>2489</x:v>
      </x:c>
      <x:c r="H440" s="23" t="n">
        <x:v>173</x:v>
      </x:c>
      <x:c r="I440" s="23"/>
      <x:c r="J440" s="20"/>
      <x:c r="K440" s="26" t="n">
        <x:v>1</x:v>
      </x:c>
      <x:c r="L440" s="26" t="n">
        <x:v>1</x:v>
      </x:c>
      <x:c r="M440" s="14" t="str">
        <x:f>IF(AND(K440=1,L440=1),"both_correct",IF(K440=1,"vanilla_only",IF(L440=1,"candidate_only","both_wrong")))</x:f>
        <x:v>both_correct</x:v>
      </x:c>
      <x:c r="N440" s="26" t="n">
        <x:v>0</x:v>
      </x:c>
      <x:c r="O440" s="26" t="n">
        <x:v>0</x:v>
      </x:c>
    </x:row>
    <x:row r="441" ht="21" customHeight="1">
      <x:c r="A441" s="14" t="str">
        <x:v>NetQAD E2E 规划模块</x:v>
      </x:c>
      <x:c r="B441" s="14" t="str">
        <x:v>TC00000093</x:v>
      </x:c>
      <x:c r="C441" s="17" t="n">
        <x:v>129.0866</x:v>
      </x:c>
      <x:c r="D441" s="17" t="n">
        <x:v>107.5186</x:v>
      </x:c>
      <x:c r="E441" s="17" t="n">
        <x:f>C441-D441</x:f>
        <x:v>21.567999999999998</x:v>
      </x:c>
      <x:c r="F441" s="20" t="n">
        <x:f>IFERROR(E441/C441,0)</x:f>
        <x:v>0.16708163357002195</x:v>
      </x:c>
      <x:c r="G441" s="23" t="n">
        <x:v>2149</x:v>
      </x:c>
      <x:c r="H441" s="23" t="n">
        <x:v>207</x:v>
      </x:c>
      <x:c r="I441" s="23"/>
      <x:c r="J441" s="20"/>
      <x:c r="K441" s="26" t="n">
        <x:v>1</x:v>
      </x:c>
      <x:c r="L441" s="26" t="n">
        <x:v>1</x:v>
      </x:c>
      <x:c r="M441" s="14" t="str">
        <x:f>IF(AND(K441=1,L441=1),"both_correct",IF(K441=1,"vanilla_only",IF(L441=1,"candidate_only","both_wrong")))</x:f>
        <x:v>both_correct</x:v>
      </x:c>
      <x:c r="N441" s="26" t="n">
        <x:v>0</x:v>
      </x:c>
      <x:c r="O441" s="26" t="n">
        <x:v>0</x:v>
      </x:c>
    </x:row>
    <x:row r="442" ht="21" customHeight="1">
      <x:c r="A442" s="14" t="str">
        <x:v>NetQAD E2E 规划模块</x:v>
      </x:c>
      <x:c r="B442" s="14" t="str">
        <x:v>TC00000096</x:v>
      </x:c>
      <x:c r="C442" s="17" t="n">
        <x:v>131.35</x:v>
      </x:c>
      <x:c r="D442" s="17" t="n">
        <x:v>112.3554</x:v>
      </x:c>
      <x:c r="E442" s="17" t="n">
        <x:f>C442-D442</x:f>
        <x:v>18.99459999999999</x:v>
      </x:c>
      <x:c r="F442" s="20" t="n">
        <x:f>IFERROR(E442/C442,0)</x:f>
        <x:v>0.14461058241339925</x:v>
      </x:c>
      <x:c r="G442" s="23" t="n">
        <x:v>2313</x:v>
      </x:c>
      <x:c r="H442" s="23" t="n">
        <x:v>273</x:v>
      </x:c>
      <x:c r="I442" s="23"/>
      <x:c r="J442" s="20"/>
      <x:c r="K442" s="26" t="n">
        <x:v>1</x:v>
      </x:c>
      <x:c r="L442" s="26" t="n">
        <x:v>1</x:v>
      </x:c>
      <x:c r="M442" s="14" t="str">
        <x:f>IF(AND(K442=1,L442=1),"both_correct",IF(K442=1,"vanilla_only",IF(L442=1,"candidate_only","both_wrong")))</x:f>
        <x:v>both_correct</x:v>
      </x:c>
      <x:c r="N442" s="26" t="n">
        <x:v>0</x:v>
      </x:c>
      <x:c r="O442" s="26" t="n">
        <x:v>0</x:v>
      </x:c>
    </x:row>
    <x:row r="443" ht="21" customHeight="1">
      <x:c r="A443" s="14" t="str">
        <x:v>NetQAD E2E 规划模块</x:v>
      </x:c>
      <x:c r="B443" s="14" t="str">
        <x:v>TC00000097</x:v>
      </x:c>
      <x:c r="C443" s="17" t="n">
        <x:v>95.758</x:v>
      </x:c>
      <x:c r="D443" s="17" t="n">
        <x:v>118.1519</x:v>
      </x:c>
      <x:c r="E443" s="17" t="n">
        <x:f>C443-D443</x:f>
        <x:v>-22.393900000000002</x:v>
      </x:c>
      <x:c r="F443" s="20" t="n">
        <x:f>IFERROR(E443/C443,0)</x:f>
        <x:v>-0.23385931201570628</x:v>
      </x:c>
      <x:c r="G443" s="23" t="n">
        <x:v>1646</x:v>
      </x:c>
      <x:c r="H443" s="23" t="n">
        <x:v>286</x:v>
      </x:c>
      <x:c r="I443" s="23"/>
      <x:c r="J443" s="20"/>
      <x:c r="K443" s="26" t="n">
        <x:v>1</x:v>
      </x:c>
      <x:c r="L443" s="26" t="n">
        <x:v>1</x:v>
      </x:c>
      <x:c r="M443" s="14" t="str">
        <x:f>IF(AND(K443=1,L443=1),"both_correct",IF(K443=1,"vanilla_only",IF(L443=1,"candidate_only","both_wrong")))</x:f>
        <x:v>both_correct</x:v>
      </x:c>
      <x:c r="N443" s="26" t="n">
        <x:v>0</x:v>
      </x:c>
      <x:c r="O443" s="26" t="n">
        <x:v>0</x:v>
      </x:c>
    </x:row>
    <x:row r="444" ht="21" customHeight="1">
      <x:c r="A444" s="14" t="str">
        <x:v>NetQAD E2E 规划模块</x:v>
      </x:c>
      <x:c r="B444" s="14" t="str">
        <x:v>TC00000098</x:v>
      </x:c>
      <x:c r="C444" s="17" t="n">
        <x:v>121.4881</x:v>
      </x:c>
      <x:c r="D444" s="17" t="n">
        <x:v>103.7686</x:v>
      </x:c>
      <x:c r="E444" s="17" t="n">
        <x:f>C444-D444</x:f>
        <x:v>17.719499999999996</x:v>
      </x:c>
      <x:c r="F444" s="20" t="n">
        <x:f>IFERROR(E444/C444,0)</x:f>
        <x:v>0.14585379144130162</x:v>
      </x:c>
      <x:c r="G444" s="23" t="n">
        <x:v>1996</x:v>
      </x:c>
      <x:c r="H444" s="23" t="n">
        <x:v>351</x:v>
      </x:c>
      <x:c r="I444" s="23"/>
      <x:c r="J444" s="20"/>
      <x:c r="K444" s="26" t="n">
        <x:v>1</x:v>
      </x:c>
      <x:c r="L444" s="26" t="n">
        <x:v>1</x:v>
      </x:c>
      <x:c r="M444" s="14" t="str">
        <x:f>IF(AND(K444=1,L444=1),"both_correct",IF(K444=1,"vanilla_only",IF(L444=1,"candidate_only","both_wrong")))</x:f>
        <x:v>both_correct</x:v>
      </x:c>
      <x:c r="N444" s="26" t="n">
        <x:v>0</x:v>
      </x:c>
      <x:c r="O444" s="26" t="n">
        <x:v>0</x:v>
      </x:c>
    </x:row>
    <x:row r="445" ht="21" customHeight="1">
      <x:c r="A445" s="14" t="str">
        <x:v>NetQAD E2E 规划模块</x:v>
      </x:c>
      <x:c r="B445" s="14" t="str">
        <x:v>TC00000100</x:v>
      </x:c>
      <x:c r="C445" s="17" t="n">
        <x:v>129.3859</x:v>
      </x:c>
      <x:c r="D445" s="17" t="n">
        <x:v>137.0749</x:v>
      </x:c>
      <x:c r="E445" s="17" t="n">
        <x:f>C445-D445</x:f>
        <x:v>-7.689000000000021</x:v>
      </x:c>
      <x:c r="F445" s="20" t="n">
        <x:f>IFERROR(E445/C445,0)</x:f>
        <x:v>-0.05942687727178944</x:v>
      </x:c>
      <x:c r="G445" s="23" t="n">
        <x:v>2231</x:v>
      </x:c>
      <x:c r="H445" s="23" t="n">
        <x:v>298</x:v>
      </x:c>
      <x:c r="I445" s="23"/>
      <x:c r="J445" s="20"/>
      <x:c r="K445" s="26" t="n">
        <x:v>1</x:v>
      </x:c>
      <x:c r="L445" s="26" t="n">
        <x:v>1</x:v>
      </x:c>
      <x:c r="M445" s="14" t="str">
        <x:f>IF(AND(K445=1,L445=1),"both_correct",IF(K445=1,"vanilla_only",IF(L445=1,"candidate_only","both_wrong")))</x:f>
        <x:v>both_correct</x:v>
      </x:c>
      <x:c r="N445" s="26" t="n">
        <x:v>0</x:v>
      </x:c>
      <x:c r="O445" s="26" t="n">
        <x:v>0</x:v>
      </x:c>
    </x:row>
    <x:row r="446" ht="21" customHeight="1">
      <x:c r="A446" s="14" t="str">
        <x:v>NetQAD E2E 规划模块</x:v>
      </x:c>
      <x:c r="B446" s="14" t="str">
        <x:v>TC00000102</x:v>
      </x:c>
      <x:c r="C446" s="17" t="n">
        <x:v>129.7471</x:v>
      </x:c>
      <x:c r="D446" s="17" t="n">
        <x:v>131.0465</x:v>
      </x:c>
      <x:c r="E446" s="17" t="n">
        <x:f>C446-D446</x:f>
        <x:v>-1.2994000000000199</x:v>
      </x:c>
      <x:c r="F446" s="20" t="n">
        <x:f>IFERROR(E446/C446,0)</x:f>
        <x:v>-0.01001486738431934</x:v>
      </x:c>
      <x:c r="G446" s="23" t="n">
        <x:v>2260</x:v>
      </x:c>
      <x:c r="H446" s="23" t="n">
        <x:v>254</x:v>
      </x:c>
      <x:c r="I446" s="23"/>
      <x:c r="J446" s="20"/>
      <x:c r="K446" s="26" t="n">
        <x:v>1</x:v>
      </x:c>
      <x:c r="L446" s="26" t="n">
        <x:v>1</x:v>
      </x:c>
      <x:c r="M446" s="14" t="str">
        <x:f>IF(AND(K446=1,L446=1),"both_correct",IF(K446=1,"vanilla_only",IF(L446=1,"candidate_only","both_wrong")))</x:f>
        <x:v>both_correct</x:v>
      </x:c>
      <x:c r="N446" s="26" t="n">
        <x:v>0</x:v>
      </x:c>
      <x:c r="O446" s="26" t="n">
        <x:v>0</x:v>
      </x:c>
    </x:row>
    <x:row r="447" ht="21" customHeight="1">
      <x:c r="A447" s="14" t="str">
        <x:v>NetQAD E2E 规划模块</x:v>
      </x:c>
      <x:c r="B447" s="14" t="str">
        <x:v>TC00000103</x:v>
      </x:c>
      <x:c r="C447" s="17" t="n">
        <x:v>99.685</x:v>
      </x:c>
      <x:c r="D447" s="17" t="n">
        <x:v>118.7073</x:v>
      </x:c>
      <x:c r="E447" s="17" t="n">
        <x:f>C447-D447</x:f>
        <x:v>-19.0223</x:v>
      </x:c>
      <x:c r="F447" s="20" t="n">
        <x:f>IFERROR(E447/C447,0)</x:f>
        <x:v>-0.1908240959020916</x:v>
      </x:c>
      <x:c r="G447" s="23" t="n">
        <x:v>1656</x:v>
      </x:c>
      <x:c r="H447" s="23" t="n">
        <x:v>366</x:v>
      </x:c>
      <x:c r="I447" s="23"/>
      <x:c r="J447" s="20"/>
      <x:c r="K447" s="26" t="n">
        <x:v>1</x:v>
      </x:c>
      <x:c r="L447" s="26" t="n">
        <x:v>1</x:v>
      </x:c>
      <x:c r="M447" s="14" t="str">
        <x:f>IF(AND(K447=1,L447=1),"both_correct",IF(K447=1,"vanilla_only",IF(L447=1,"candidate_only","both_wrong")))</x:f>
        <x:v>both_correct</x:v>
      </x:c>
      <x:c r="N447" s="26" t="n">
        <x:v>0</x:v>
      </x:c>
      <x:c r="O447" s="26" t="n">
        <x:v>0</x:v>
      </x:c>
    </x:row>
    <x:row r="448" ht="21" customHeight="1">
      <x:c r="A448" s="14" t="str">
        <x:v>NetQAD E2E 规划模块</x:v>
      </x:c>
      <x:c r="B448" s="14" t="str">
        <x:v>TC00000104</x:v>
      </x:c>
      <x:c r="C448" s="17" t="n">
        <x:v>109.6647</x:v>
      </x:c>
      <x:c r="D448" s="17" t="n">
        <x:v>108.2205</x:v>
      </x:c>
      <x:c r="E448" s="17" t="n">
        <x:f>C448-D448</x:f>
        <x:v>1.444199999999995</x:v>
      </x:c>
      <x:c r="F448" s="20" t="n">
        <x:f>IFERROR(E448/C448,0)</x:f>
        <x:v>0.013169233126065135</x:v>
      </x:c>
      <x:c r="G448" s="23" t="n">
        <x:v>1786</x:v>
      </x:c>
      <x:c r="H448" s="23" t="n">
        <x:v>313</x:v>
      </x:c>
      <x:c r="I448" s="23"/>
      <x:c r="J448" s="20"/>
      <x:c r="K448" s="26" t="n">
        <x:v>1</x:v>
      </x:c>
      <x:c r="L448" s="26" t="n">
        <x:v>1</x:v>
      </x:c>
      <x:c r="M448" s="14" t="str">
        <x:f>IF(AND(K448=1,L448=1),"both_correct",IF(K448=1,"vanilla_only",IF(L448=1,"candidate_only","both_wrong")))</x:f>
        <x:v>both_correct</x:v>
      </x:c>
      <x:c r="N448" s="26" t="n">
        <x:v>0</x:v>
      </x:c>
      <x:c r="O448" s="26" t="n">
        <x:v>0</x:v>
      </x:c>
    </x:row>
    <x:row r="449" ht="21" customHeight="1">
      <x:c r="A449" s="14" t="str">
        <x:v>NetQAD E2E 规划模块</x:v>
      </x:c>
      <x:c r="B449" s="14" t="str">
        <x:v>TC00000106</x:v>
      </x:c>
      <x:c r="C449" s="17" t="n">
        <x:v>91.9676</x:v>
      </x:c>
      <x:c r="D449" s="17" t="n">
        <x:v>109.6747</x:v>
      </x:c>
      <x:c r="E449" s="17" t="n">
        <x:f>C449-D449</x:f>
        <x:v>-17.707099999999997</x:v>
      </x:c>
      <x:c r="F449" s="20" t="n">
        <x:f>IFERROR(E449/C449,0)</x:f>
        <x:v>-0.19253628451759094</x:v>
      </x:c>
      <x:c r="G449" s="23" t="n">
        <x:v>1670</x:v>
      </x:c>
      <x:c r="H449" s="23" t="n">
        <x:v>137</x:v>
      </x:c>
      <x:c r="I449" s="23"/>
      <x:c r="J449" s="20"/>
      <x:c r="K449" s="26" t="n">
        <x:v>1</x:v>
      </x:c>
      <x:c r="L449" s="26" t="n">
        <x:v>1</x:v>
      </x:c>
      <x:c r="M449" s="14" t="str">
        <x:f>IF(AND(K449=1,L449=1),"both_correct",IF(K449=1,"vanilla_only",IF(L449=1,"candidate_only","both_wrong")))</x:f>
        <x:v>both_correct</x:v>
      </x:c>
      <x:c r="N449" s="26" t="n">
        <x:v>0</x:v>
      </x:c>
      <x:c r="O449" s="26" t="n">
        <x:v>0</x:v>
      </x:c>
    </x:row>
    <x:row r="450" ht="21" customHeight="1">
      <x:c r="A450" s="14" t="str">
        <x:v>NetQAD E2E 规划模块</x:v>
      </x:c>
      <x:c r="B450" s="14" t="str">
        <x:v>TC00000107</x:v>
      </x:c>
      <x:c r="C450" s="17" t="n">
        <x:v>114.8155</x:v>
      </x:c>
      <x:c r="D450" s="17" t="n">
        <x:v>150.4887</x:v>
      </x:c>
      <x:c r="E450" s="17" t="n">
        <x:f>C450-D450</x:f>
        <x:v>-35.673199999999994</x:v>
      </x:c>
      <x:c r="F450" s="20" t="n">
        <x:f>IFERROR(E450/C450,0)</x:f>
        <x:v>-0.3107002103374544</x:v>
      </x:c>
      <x:c r="G450" s="23" t="n">
        <x:v>1895</x:v>
      </x:c>
      <x:c r="H450" s="23" t="n">
        <x:v>172</x:v>
      </x:c>
      <x:c r="I450" s="23"/>
      <x:c r="J450" s="20"/>
      <x:c r="K450" s="26" t="n">
        <x:v>1</x:v>
      </x:c>
      <x:c r="L450" s="26" t="n">
        <x:v>1</x:v>
      </x:c>
      <x:c r="M450" s="14" t="str">
        <x:f>IF(AND(K450=1,L450=1),"both_correct",IF(K450=1,"vanilla_only",IF(L450=1,"candidate_only","both_wrong")))</x:f>
        <x:v>both_correct</x:v>
      </x:c>
      <x:c r="N450" s="26" t="n">
        <x:v>0</x:v>
      </x:c>
      <x:c r="O450" s="26" t="n">
        <x:v>0</x:v>
      </x:c>
    </x:row>
    <x:row r="451" ht="21" customHeight="1">
      <x:c r="A451" s="14" t="str">
        <x:v>NetQAD E2E 规划模块</x:v>
      </x:c>
      <x:c r="B451" s="14" t="str">
        <x:v>TC00000108</x:v>
      </x:c>
      <x:c r="C451" s="17" t="n">
        <x:v>103.4946</x:v>
      </x:c>
      <x:c r="D451" s="17" t="n">
        <x:v>104.8829</x:v>
      </x:c>
      <x:c r="E451" s="17" t="n">
        <x:f>C451-D451</x:f>
        <x:v>-1.388300000000001</x:v>
      </x:c>
      <x:c r="F451" s="20" t="n">
        <x:f>IFERROR(E451/C451,0)</x:f>
        <x:v>-0.013414226442732286</x:v>
      </x:c>
      <x:c r="G451" s="23" t="n">
        <x:v>1719</x:v>
      </x:c>
      <x:c r="H451" s="23" t="n">
        <x:v>119</x:v>
      </x:c>
      <x:c r="I451" s="23"/>
      <x:c r="J451" s="20"/>
      <x:c r="K451" s="26" t="n">
        <x:v>1</x:v>
      </x:c>
      <x:c r="L451" s="26" t="n">
        <x:v>1</x:v>
      </x:c>
      <x:c r="M451" s="14" t="str">
        <x:f>IF(AND(K451=1,L451=1),"both_correct",IF(K451=1,"vanilla_only",IF(L451=1,"candidate_only","both_wrong")))</x:f>
        <x:v>both_correct</x:v>
      </x:c>
      <x:c r="N451" s="26" t="n">
        <x:v>0</x:v>
      </x:c>
      <x:c r="O451" s="26" t="n">
        <x:v>0</x:v>
      </x:c>
    </x:row>
    <x:row r="452" ht="21" customHeight="1">
      <x:c r="A452" s="14" t="str">
        <x:v>NetQAD E2E 规划模块</x:v>
      </x:c>
      <x:c r="B452" s="14" t="str">
        <x:v>TC00000109</x:v>
      </x:c>
      <x:c r="C452" s="17" t="n">
        <x:v>110.4048</x:v>
      </x:c>
      <x:c r="D452" s="17" t="n">
        <x:v>104.1905</x:v>
      </x:c>
      <x:c r="E452" s="17" t="n">
        <x:f>C452-D452</x:f>
        <x:v>6.214299999999994</x:v>
      </x:c>
      <x:c r="F452" s="20" t="n">
        <x:f>IFERROR(E452/C452,0)</x:f>
        <x:v>0.056286502036143306</x:v>
      </x:c>
      <x:c r="G452" s="23" t="n">
        <x:v>1790</x:v>
      </x:c>
      <x:c r="H452" s="23" t="n">
        <x:v>123</x:v>
      </x:c>
      <x:c r="I452" s="23"/>
      <x:c r="J452" s="20"/>
      <x:c r="K452" s="26" t="n">
        <x:v>1</x:v>
      </x:c>
      <x:c r="L452" s="26" t="n">
        <x:v>1</x:v>
      </x:c>
      <x:c r="M452" s="14" t="str">
        <x:f>IF(AND(K452=1,L452=1),"both_correct",IF(K452=1,"vanilla_only",IF(L452=1,"candidate_only","both_wrong")))</x:f>
        <x:v>both_correct</x:v>
      </x:c>
      <x:c r="N452" s="26" t="n">
        <x:v>0</x:v>
      </x:c>
      <x:c r="O452" s="26" t="n">
        <x:v>0</x:v>
      </x:c>
    </x:row>
    <x:row r="453" ht="21" customHeight="1">
      <x:c r="A453" s="14" t="str">
        <x:v>NetQAD E2E 规划模块</x:v>
      </x:c>
      <x:c r="B453" s="14" t="str">
        <x:v>TC00000110</x:v>
      </x:c>
      <x:c r="C453" s="17" t="n">
        <x:v>151.3495</x:v>
      </x:c>
      <x:c r="D453" s="17" t="n">
        <x:v>148.3998</x:v>
      </x:c>
      <x:c r="E453" s="17" t="n">
        <x:f>C453-D453</x:f>
        <x:v>2.949700000000007</x:v>
      </x:c>
      <x:c r="F453" s="20" t="n">
        <x:f>IFERROR(E453/C453,0)</x:f>
        <x:v>0.019489327681954726</x:v>
      </x:c>
      <x:c r="G453" s="23" t="n">
        <x:v>2533</x:v>
      </x:c>
      <x:c r="H453" s="23" t="n">
        <x:v>356</x:v>
      </x:c>
      <x:c r="I453" s="23"/>
      <x:c r="J453" s="20"/>
      <x:c r="K453" s="26" t="n">
        <x:v>1</x:v>
      </x:c>
      <x:c r="L453" s="26" t="n">
        <x:v>1</x:v>
      </x:c>
      <x:c r="M453" s="14" t="str">
        <x:f>IF(AND(K453=1,L453=1),"both_correct",IF(K453=1,"vanilla_only",IF(L453=1,"candidate_only","both_wrong")))</x:f>
        <x:v>both_correct</x:v>
      </x:c>
      <x:c r="N453" s="26" t="n">
        <x:v>0</x:v>
      </x:c>
      <x:c r="O453" s="26" t="n">
        <x:v>0</x:v>
      </x:c>
    </x:row>
    <x:row r="454" ht="21" customHeight="1">
      <x:c r="A454" s="14" t="str">
        <x:v>NetQAD E2E 规划模块</x:v>
      </x:c>
      <x:c r="B454" s="14" t="str">
        <x:v>TC00000111</x:v>
      </x:c>
      <x:c r="C454" s="17" t="n">
        <x:v>133.4864</x:v>
      </x:c>
      <x:c r="D454" s="17" t="n">
        <x:v>129.2769</x:v>
      </x:c>
      <x:c r="E454" s="17" t="n">
        <x:f>C454-D454</x:f>
        <x:v>4.209499999999991</x:v>
      </x:c>
      <x:c r="F454" s="20" t="n">
        <x:f>IFERROR(E454/C454,0)</x:f>
        <x:v>0.031535047765165525</x:v>
      </x:c>
      <x:c r="G454" s="23" t="n">
        <x:v>2202</x:v>
      </x:c>
      <x:c r="H454" s="23" t="n">
        <x:v>385</x:v>
      </x:c>
      <x:c r="I454" s="23"/>
      <x:c r="J454" s="20"/>
      <x:c r="K454" s="26" t="n">
        <x:v>1</x:v>
      </x:c>
      <x:c r="L454" s="26" t="n">
        <x:v>1</x:v>
      </x:c>
      <x:c r="M454" s="14" t="str">
        <x:f>IF(AND(K454=1,L454=1),"both_correct",IF(K454=1,"vanilla_only",IF(L454=1,"candidate_only","both_wrong")))</x:f>
        <x:v>both_correct</x:v>
      </x:c>
      <x:c r="N454" s="26" t="n">
        <x:v>0</x:v>
      </x:c>
      <x:c r="O454" s="26" t="n">
        <x:v>0</x:v>
      </x:c>
    </x:row>
    <x:row r="455" ht="21" customHeight="1">
      <x:c r="A455" s="14" t="str">
        <x:v>NetQAD E2E 规划模块</x:v>
      </x:c>
      <x:c r="B455" s="14" t="str">
        <x:v>TC00000112</x:v>
      </x:c>
      <x:c r="C455" s="17" t="n">
        <x:v>171.7585</x:v>
      </x:c>
      <x:c r="D455" s="17" t="n">
        <x:v>152.8042</x:v>
      </x:c>
      <x:c r="E455" s="17" t="n">
        <x:f>C455-D455</x:f>
        <x:v>18.95429999999999</x:v>
      </x:c>
      <x:c r="F455" s="20" t="n">
        <x:f>IFERROR(E455/C455,0)</x:f>
        <x:v>0.11035436383061094</x:v>
      </x:c>
      <x:c r="G455" s="23" t="n">
        <x:v>2948</x:v>
      </x:c>
      <x:c r="H455" s="23" t="n">
        <x:v>416</x:v>
      </x:c>
      <x:c r="I455" s="23"/>
      <x:c r="J455" s="20"/>
      <x:c r="K455" s="26" t="n">
        <x:v>1</x:v>
      </x:c>
      <x:c r="L455" s="26" t="n">
        <x:v>1</x:v>
      </x:c>
      <x:c r="M455" s="14" t="str">
        <x:f>IF(AND(K455=1,L455=1),"both_correct",IF(K455=1,"vanilla_only",IF(L455=1,"candidate_only","both_wrong")))</x:f>
        <x:v>both_correct</x:v>
      </x:c>
      <x:c r="N455" s="26" t="n">
        <x:v>0</x:v>
      </x:c>
      <x:c r="O455" s="26" t="n">
        <x:v>0</x:v>
      </x:c>
    </x:row>
    <x:row r="456" ht="21" customHeight="1">
      <x:c r="A456" s="14" t="str">
        <x:v>NetQAD E2E 规划模块</x:v>
      </x:c>
      <x:c r="B456" s="14" t="str">
        <x:v>TC00000113</x:v>
      </x:c>
      <x:c r="C456" s="17" t="n">
        <x:v>144.2989</x:v>
      </x:c>
      <x:c r="D456" s="17" t="n">
        <x:v>139.0692</x:v>
      </x:c>
      <x:c r="E456" s="17" t="n">
        <x:f>C456-D456</x:f>
        <x:v>5.229700000000008</x:v>
      </x:c>
      <x:c r="F456" s="20" t="n">
        <x:f>IFERROR(E456/C456,0)</x:f>
        <x:v>0.03624213351591737</x:v>
      </x:c>
      <x:c r="G456" s="23" t="n">
        <x:v>2401</x:v>
      </x:c>
      <x:c r="H456" s="23" t="n">
        <x:v>298</x:v>
      </x:c>
      <x:c r="I456" s="23"/>
      <x:c r="J456" s="20"/>
      <x:c r="K456" s="26" t="n">
        <x:v>1</x:v>
      </x:c>
      <x:c r="L456" s="26" t="n">
        <x:v>1</x:v>
      </x:c>
      <x:c r="M456" s="14" t="str">
        <x:f>IF(AND(K456=1,L456=1),"both_correct",IF(K456=1,"vanilla_only",IF(L456=1,"candidate_only","both_wrong")))</x:f>
        <x:v>both_correct</x:v>
      </x:c>
      <x:c r="N456" s="26" t="n">
        <x:v>0</x:v>
      </x:c>
      <x:c r="O456" s="26" t="n">
        <x:v>0</x:v>
      </x:c>
    </x:row>
    <x:row r="457" ht="21" customHeight="1">
      <x:c r="A457" s="14" t="str">
        <x:v>NetQAD E2E 规划模块</x:v>
      </x:c>
      <x:c r="B457" s="14" t="str">
        <x:v>TC00000114</x:v>
      </x:c>
      <x:c r="C457" s="17" t="n">
        <x:v>194.0991</x:v>
      </x:c>
      <x:c r="D457" s="17" t="n">
        <x:v>143.9321</x:v>
      </x:c>
      <x:c r="E457" s="17" t="n">
        <x:f>C457-D457</x:f>
        <x:v>50.167</x:v>
      </x:c>
      <x:c r="F457" s="20" t="n">
        <x:f>IFERROR(E457/C457,0)</x:f>
        <x:v>0.25846075535641333</x:v>
      </x:c>
      <x:c r="G457" s="23" t="n">
        <x:v>3332</x:v>
      </x:c>
      <x:c r="H457" s="23" t="n">
        <x:v>319</x:v>
      </x:c>
      <x:c r="I457" s="23"/>
      <x:c r="J457" s="20"/>
      <x:c r="K457" s="26" t="n">
        <x:v>1</x:v>
      </x:c>
      <x:c r="L457" s="26" t="n">
        <x:v>1</x:v>
      </x:c>
      <x:c r="M457" s="14" t="str">
        <x:f>IF(AND(K457=1,L457=1),"both_correct",IF(K457=1,"vanilla_only",IF(L457=1,"candidate_only","both_wrong")))</x:f>
        <x:v>both_correct</x:v>
      </x:c>
      <x:c r="N457" s="26" t="n">
        <x:v>0</x:v>
      </x:c>
      <x:c r="O457" s="26" t="n">
        <x:v>0</x:v>
      </x:c>
    </x:row>
    <x:row r="458" ht="21" customHeight="1">
      <x:c r="A458" s="14" t="str">
        <x:v>NetQAD E2E 规划模块</x:v>
      </x:c>
      <x:c r="B458" s="14" t="str">
        <x:v>TC00000115</x:v>
      </x:c>
      <x:c r="C458" s="17" t="n">
        <x:v>160.9476</x:v>
      </x:c>
      <x:c r="D458" s="17" t="n">
        <x:v>156.2541</x:v>
      </x:c>
      <x:c r="E458" s="17" t="n">
        <x:f>C458-D458</x:f>
        <x:v>4.6935</x:v>
      </x:c>
      <x:c r="F458" s="20" t="n">
        <x:f>IFERROR(E458/C458,0)</x:f>
        <x:v>0.029161665038807665</x:v>
      </x:c>
      <x:c r="G458" s="23" t="n">
        <x:v>2700</x:v>
      </x:c>
      <x:c r="H458" s="23" t="n">
        <x:v>446</x:v>
      </x:c>
      <x:c r="I458" s="23"/>
      <x:c r="J458" s="20"/>
      <x:c r="K458" s="26" t="n">
        <x:v>1</x:v>
      </x:c>
      <x:c r="L458" s="26" t="n">
        <x:v>1</x:v>
      </x:c>
      <x:c r="M458" s="14" t="str">
        <x:f>IF(AND(K458=1,L458=1),"both_correct",IF(K458=1,"vanilla_only",IF(L458=1,"candidate_only","both_wrong")))</x:f>
        <x:v>both_correct</x:v>
      </x:c>
      <x:c r="N458" s="26" t="n">
        <x:v>0</x:v>
      </x:c>
      <x:c r="O458" s="26" t="n">
        <x:v>0</x:v>
      </x:c>
    </x:row>
    <x:row r="459" ht="21" customHeight="1">
      <x:c r="A459" s="14" t="str">
        <x:v>NetQAD E2E 规划模块</x:v>
      </x:c>
      <x:c r="B459" s="14" t="str">
        <x:v>TC00000116</x:v>
      </x:c>
      <x:c r="C459" s="17" t="n">
        <x:v>198.9881</x:v>
      </x:c>
      <x:c r="D459" s="17" t="n">
        <x:v>161.4394</x:v>
      </x:c>
      <x:c r="E459" s="17" t="n">
        <x:f>C459-D459</x:f>
        <x:v>37.5487</x:v>
      </x:c>
      <x:c r="F459" s="20" t="n">
        <x:f>IFERROR(E459/C459,0)</x:f>
        <x:v>0.18869821863719488</x:v>
      </x:c>
      <x:c r="G459" s="23" t="n">
        <x:v>3179</x:v>
      </x:c>
      <x:c r="H459" s="23" t="n">
        <x:v>525</x:v>
      </x:c>
      <x:c r="I459" s="23"/>
      <x:c r="J459" s="20"/>
      <x:c r="K459" s="26" t="n">
        <x:v>1</x:v>
      </x:c>
      <x:c r="L459" s="26" t="n">
        <x:v>1</x:v>
      </x:c>
      <x:c r="M459" s="14" t="str">
        <x:f>IF(AND(K459=1,L459=1),"both_correct",IF(K459=1,"vanilla_only",IF(L459=1,"candidate_only","both_wrong")))</x:f>
        <x:v>both_correct</x:v>
      </x:c>
      <x:c r="N459" s="26" t="n">
        <x:v>0</x:v>
      </x:c>
      <x:c r="O459" s="26" t="n">
        <x:v>0</x:v>
      </x:c>
    </x:row>
    <x:row r="460" ht="21" customHeight="1">
      <x:c r="A460" s="14" t="str">
        <x:v>NetQAD E2E 规划模块</x:v>
      </x:c>
      <x:c r="B460" s="14" t="str">
        <x:v>TC00000117</x:v>
      </x:c>
      <x:c r="C460" s="17" t="n">
        <x:v>108.8312</x:v>
      </x:c>
      <x:c r="D460" s="17" t="n">
        <x:v>104.3919</x:v>
      </x:c>
      <x:c r="E460" s="17" t="n">
        <x:f>C460-D460</x:f>
        <x:v>4.439299999999989</x:v>
      </x:c>
      <x:c r="F460" s="20" t="n">
        <x:f>IFERROR(E460/C460,0)</x:f>
        <x:v>0.0407906923749806</x:v>
      </x:c>
      <x:c r="G460" s="23" t="n">
        <x:v>1670</x:v>
      </x:c>
      <x:c r="H460" s="23" t="n">
        <x:v>218</x:v>
      </x:c>
      <x:c r="I460" s="23"/>
      <x:c r="J460" s="20"/>
      <x:c r="K460" s="26" t="n">
        <x:v>0</x:v>
      </x:c>
      <x:c r="L460" s="26" t="n">
        <x:v>0</x:v>
      </x:c>
      <x:c r="M460" s="14" t="str">
        <x:f>IF(AND(K460=1,L460=1),"both_correct",IF(K460=1,"vanilla_only",IF(L460=1,"candidate_only","both_wrong")))</x:f>
        <x:v>both_wrong</x:v>
      </x:c>
      <x:c r="N460" s="26" t="n">
        <x:v>0</x:v>
      </x:c>
      <x:c r="O460" s="26" t="n">
        <x:v>0</x:v>
      </x:c>
    </x:row>
    <x:row r="461" ht="21" customHeight="1">
      <x:c r="A461" s="14" t="str">
        <x:v>NetQAD E2E 规划模块</x:v>
      </x:c>
      <x:c r="B461" s="14" t="str">
        <x:v>TC00000118</x:v>
      </x:c>
      <x:c r="C461" s="17" t="n">
        <x:v>129.801</x:v>
      </x:c>
      <x:c r="D461" s="17" t="n">
        <x:v>123.3211</x:v>
      </x:c>
      <x:c r="E461" s="17" t="n">
        <x:f>C461-D461</x:f>
        <x:v>6.4798999999999864</x:v>
      </x:c>
      <x:c r="F461" s="20" t="n">
        <x:f>IFERROR(E461/C461,0)</x:f>
        <x:v>0.049921803375936914</x:v>
      </x:c>
      <x:c r="G461" s="23" t="n">
        <x:v>2000</x:v>
      </x:c>
      <x:c r="H461" s="23" t="n">
        <x:v>209</x:v>
      </x:c>
      <x:c r="I461" s="23"/>
      <x:c r="J461" s="20"/>
      <x:c r="K461" s="26" t="n">
        <x:v>1</x:v>
      </x:c>
      <x:c r="L461" s="26" t="n">
        <x:v>1</x:v>
      </x:c>
      <x:c r="M461" s="14" t="str">
        <x:f>IF(AND(K461=1,L461=1),"both_correct",IF(K461=1,"vanilla_only",IF(L461=1,"candidate_only","both_wrong")))</x:f>
        <x:v>both_correct</x:v>
      </x:c>
      <x:c r="N461" s="26" t="n">
        <x:v>0</x:v>
      </x:c>
      <x:c r="O461" s="26" t="n">
        <x:v>0</x:v>
      </x:c>
    </x:row>
    <x:row r="462" ht="21" customHeight="1">
      <x:c r="A462" s="14" t="str">
        <x:v>NetQAD E2E 规划模块</x:v>
      </x:c>
      <x:c r="B462" s="14" t="str">
        <x:v>TC00000119</x:v>
      </x:c>
      <x:c r="C462" s="17" t="n">
        <x:v>157.9958</x:v>
      </x:c>
      <x:c r="D462" s="17" t="n">
        <x:v>169.2662</x:v>
      </x:c>
      <x:c r="E462" s="17" t="n">
        <x:f>C462-D462</x:f>
        <x:v>-11.270399999999995</x:v>
      </x:c>
      <x:c r="F462" s="20" t="n">
        <x:f>IFERROR(E462/C462,0)</x:f>
        <x:v>-0.0713335417776928</x:v>
      </x:c>
      <x:c r="G462" s="23" t="n">
        <x:v>2444</x:v>
      </x:c>
      <x:c r="H462" s="23" t="n">
        <x:v>414</x:v>
      </x:c>
      <x:c r="I462" s="23"/>
      <x:c r="J462" s="20"/>
      <x:c r="K462" s="26" t="n">
        <x:v>1</x:v>
      </x:c>
      <x:c r="L462" s="26" t="n">
        <x:v>1</x:v>
      </x:c>
      <x:c r="M462" s="14" t="str">
        <x:f>IF(AND(K462=1,L462=1),"both_correct",IF(K462=1,"vanilla_only",IF(L462=1,"candidate_only","both_wrong")))</x:f>
        <x:v>both_correct</x:v>
      </x:c>
      <x:c r="N462" s="26" t="n">
        <x:v>0</x:v>
      </x:c>
      <x:c r="O462" s="26" t="n">
        <x:v>0</x:v>
      </x:c>
    </x:row>
    <x:row r="463" ht="21" customHeight="1">
      <x:c r="A463" s="14" t="str">
        <x:v>NetQAD E2E 规划模块</x:v>
      </x:c>
      <x:c r="B463" s="14" t="str">
        <x:v>TC00000120</x:v>
      </x:c>
      <x:c r="C463" s="17" t="n">
        <x:v>137.2307</x:v>
      </x:c>
      <x:c r="D463" s="17" t="n">
        <x:v>133.6108</x:v>
      </x:c>
      <x:c r="E463" s="17" t="n">
        <x:f>C463-D463</x:f>
        <x:v>3.6199000000000012</x:v>
      </x:c>
      <x:c r="F463" s="20" t="n">
        <x:f>IFERROR(E463/C463,0)</x:f>
        <x:v>0.026378208374656698</x:v>
      </x:c>
      <x:c r="G463" s="23" t="n">
        <x:v>2122</x:v>
      </x:c>
      <x:c r="H463" s="23" t="n">
        <x:v>372</x:v>
      </x:c>
      <x:c r="I463" s="23"/>
      <x:c r="J463" s="20"/>
      <x:c r="K463" s="26" t="n">
        <x:v>1</x:v>
      </x:c>
      <x:c r="L463" s="26" t="n">
        <x:v>1</x:v>
      </x:c>
      <x:c r="M463" s="14" t="str">
        <x:f>IF(AND(K463=1,L463=1),"both_correct",IF(K463=1,"vanilla_only",IF(L463=1,"candidate_only","both_wrong")))</x:f>
        <x:v>both_correct</x:v>
      </x:c>
      <x:c r="N463" s="26" t="n">
        <x:v>0</x:v>
      </x:c>
      <x:c r="O463" s="26" t="n">
        <x:v>0</x:v>
      </x:c>
    </x:row>
    <x:row r="464" ht="21" customHeight="1">
      <x:c r="A464" s="14" t="str">
        <x:v>NetQAD E2E 规划模块</x:v>
      </x:c>
      <x:c r="B464" s="14" t="str">
        <x:v>TC00000121</x:v>
      </x:c>
      <x:c r="C464" s="17" t="n">
        <x:v>118.3957</x:v>
      </x:c>
      <x:c r="D464" s="17" t="n">
        <x:v>143.0772</x:v>
      </x:c>
      <x:c r="E464" s="17" t="n">
        <x:f>C464-D464</x:f>
        <x:v>-24.6815</x:v>
      </x:c>
      <x:c r="F464" s="20" t="n">
        <x:f>IFERROR(E464/C464,0)</x:f>
        <x:v>-0.208466185849655</x:v>
      </x:c>
      <x:c r="G464" s="23" t="n">
        <x:v>1880</x:v>
      </x:c>
      <x:c r="H464" s="23" t="n">
        <x:v>422</x:v>
      </x:c>
      <x:c r="I464" s="23"/>
      <x:c r="J464" s="20"/>
      <x:c r="K464" s="26" t="n">
        <x:v>1</x:v>
      </x:c>
      <x:c r="L464" s="26" t="n">
        <x:v>1</x:v>
      </x:c>
      <x:c r="M464" s="14" t="str">
        <x:f>IF(AND(K464=1,L464=1),"both_correct",IF(K464=1,"vanilla_only",IF(L464=1,"candidate_only","both_wrong")))</x:f>
        <x:v>both_correct</x:v>
      </x:c>
      <x:c r="N464" s="26" t="n">
        <x:v>0</x:v>
      </x:c>
      <x:c r="O464" s="26" t="n">
        <x:v>0</x:v>
      </x:c>
    </x:row>
    <x:row r="465" ht="21" customHeight="1">
      <x:c r="A465" s="14" t="str">
        <x:v>NetQAD E2E 规划模块</x:v>
      </x:c>
      <x:c r="B465" s="14" t="str">
        <x:v>TC00000122</x:v>
      </x:c>
      <x:c r="C465" s="17" t="n">
        <x:v>176.7112</x:v>
      </x:c>
      <x:c r="D465" s="17" t="n">
        <x:v>167.5299</x:v>
      </x:c>
      <x:c r="E465" s="17" t="n">
        <x:f>C465-D465</x:f>
        <x:v>9.181299999999993</x:v>
      </x:c>
      <x:c r="F465" s="20" t="n">
        <x:f>IFERROR(E465/C465,0)</x:f>
        <x:v>0.05195652567579188</x:v>
      </x:c>
      <x:c r="G465" s="23" t="n">
        <x:v>3830</x:v>
      </x:c>
      <x:c r="H465" s="23" t="n">
        <x:v>581</x:v>
      </x:c>
      <x:c r="I465" s="23"/>
      <x:c r="J465" s="20"/>
      <x:c r="K465" s="26" t="n">
        <x:v>1</x:v>
      </x:c>
      <x:c r="L465" s="26" t="n">
        <x:v>1</x:v>
      </x:c>
      <x:c r="M465" s="14" t="str">
        <x:f>IF(AND(K465=1,L465=1),"both_correct",IF(K465=1,"vanilla_only",IF(L465=1,"candidate_only","both_wrong")))</x:f>
        <x:v>both_correct</x:v>
      </x:c>
      <x:c r="N465" s="26" t="n">
        <x:v>0</x:v>
      </x:c>
      <x:c r="O465" s="26" t="n">
        <x:v>0</x:v>
      </x:c>
    </x:row>
    <x:row r="466" ht="21" customHeight="1">
      <x:c r="A466" s="14" t="str">
        <x:v>NetQAD E2E 规划模块</x:v>
      </x:c>
      <x:c r="B466" s="14" t="str">
        <x:v>TC00000123</x:v>
      </x:c>
      <x:c r="C466" s="17" t="n">
        <x:v>124.9506</x:v>
      </x:c>
      <x:c r="D466" s="17" t="n">
        <x:v>140.9162</x:v>
      </x:c>
      <x:c r="E466" s="17" t="n">
        <x:f>C466-D466</x:f>
        <x:v>-15.96560000000001</x:v>
      </x:c>
      <x:c r="F466" s="20" t="n">
        <x:f>IFERROR(E466/C466,0)</x:f>
        <x:v>-0.12777529679729438</x:v>
      </x:c>
      <x:c r="G466" s="23" t="n">
        <x:v>2796</x:v>
      </x:c>
      <x:c r="H466" s="23" t="n">
        <x:v>523</x:v>
      </x:c>
      <x:c r="I466" s="23"/>
      <x:c r="J466" s="20"/>
      <x:c r="K466" s="26" t="n">
        <x:v>1</x:v>
      </x:c>
      <x:c r="L466" s="26" t="n">
        <x:v>1</x:v>
      </x:c>
      <x:c r="M466" s="14" t="str">
        <x:f>IF(AND(K466=1,L466=1),"both_correct",IF(K466=1,"vanilla_only",IF(L466=1,"candidate_only","both_wrong")))</x:f>
        <x:v>both_correct</x:v>
      </x:c>
      <x:c r="N466" s="26" t="n">
        <x:v>0</x:v>
      </x:c>
      <x:c r="O466" s="26" t="n">
        <x:v>0</x:v>
      </x:c>
    </x:row>
    <x:row r="467" ht="21" customHeight="1">
      <x:c r="A467" s="14" t="str">
        <x:v>NetQAD E2E 规划模块</x:v>
      </x:c>
      <x:c r="B467" s="14" t="str">
        <x:v>TC00000124</x:v>
      </x:c>
      <x:c r="C467" s="17" t="n">
        <x:v>105.4309</x:v>
      </x:c>
      <x:c r="D467" s="17" t="n">
        <x:v>116.7998</x:v>
      </x:c>
      <x:c r="E467" s="17" t="n">
        <x:f>C467-D467</x:f>
        <x:v>-11.36890000000001</x:v>
      </x:c>
      <x:c r="F467" s="20" t="n">
        <x:f>IFERROR(E467/C467,0)</x:f>
        <x:v>-0.10783271317991226</x:v>
      </x:c>
      <x:c r="G467" s="23" t="n">
        <x:v>1822</x:v>
      </x:c>
      <x:c r="H467" s="23" t="n">
        <x:v>233</x:v>
      </x:c>
      <x:c r="I467" s="23"/>
      <x:c r="J467" s="20"/>
      <x:c r="K467" s="26" t="n">
        <x:v>1</x:v>
      </x:c>
      <x:c r="L467" s="26" t="n">
        <x:v>1</x:v>
      </x:c>
      <x:c r="M467" s="14" t="str">
        <x:f>IF(AND(K467=1,L467=1),"both_correct",IF(K467=1,"vanilla_only",IF(L467=1,"candidate_only","both_wrong")))</x:f>
        <x:v>both_correct</x:v>
      </x:c>
      <x:c r="N467" s="26" t="n">
        <x:v>0</x:v>
      </x:c>
      <x:c r="O467" s="26" t="n">
        <x:v>0</x:v>
      </x:c>
    </x:row>
    <x:row r="468" ht="21" customHeight="1">
      <x:c r="A468" s="14" t="str">
        <x:v>NetQAD E2E 规划模块</x:v>
      </x:c>
      <x:c r="B468" s="14" t="str">
        <x:v>TC00000125</x:v>
      </x:c>
      <x:c r="C468" s="17" t="n">
        <x:v>92.6792</x:v>
      </x:c>
      <x:c r="D468" s="17" t="n">
        <x:v>86.7366</x:v>
      </x:c>
      <x:c r="E468" s="17" t="n">
        <x:f>C468-D468</x:f>
        <x:v>5.942599999999999</x:v>
      </x:c>
      <x:c r="F468" s="20" t="n">
        <x:f>IFERROR(E468/C468,0)</x:f>
        <x:v>0.06412010461894362</x:v>
      </x:c>
      <x:c r="G468" s="23" t="n">
        <x:v>1573</x:v>
      </x:c>
      <x:c r="H468" s="23" t="n">
        <x:v>190</x:v>
      </x:c>
      <x:c r="I468" s="23"/>
      <x:c r="J468" s="20"/>
      <x:c r="K468" s="26" t="n">
        <x:v>1</x:v>
      </x:c>
      <x:c r="L468" s="26" t="n">
        <x:v>1</x:v>
      </x:c>
      <x:c r="M468" s="14" t="str">
        <x:f>IF(AND(K468=1,L468=1),"both_correct",IF(K468=1,"vanilla_only",IF(L468=1,"candidate_only","both_wrong")))</x:f>
        <x:v>both_correct</x:v>
      </x:c>
      <x:c r="N468" s="26" t="n">
        <x:v>0</x:v>
      </x:c>
      <x:c r="O468" s="26" t="n">
        <x:v>0</x:v>
      </x:c>
    </x:row>
    <x:row r="469" ht="21" customHeight="1">
      <x:c r="A469" s="14" t="str">
        <x:v>ReAct 白盒单步规划</x:v>
      </x:c>
      <x:c r="B469" s="14" t="str">
        <x:v>TC00000001</x:v>
      </x:c>
      <x:c r="C469" s="17" t="n">
        <x:v>63.5604</x:v>
      </x:c>
      <x:c r="D469" s="17" t="n">
        <x:v>124.2589</x:v>
      </x:c>
      <x:c r="E469" s="17" t="n">
        <x:f>C469-D469</x:f>
        <x:v>-60.698499999999996</x:v>
      </x:c>
      <x:c r="F469" s="20" t="n">
        <x:f>IFERROR(E469/C469,0)</x:f>
        <x:v>-0.954973536982146</x:v>
      </x:c>
      <x:c r="G469" s="23" t="n">
        <x:v>1180</x:v>
      </x:c>
      <x:c r="H469" s="23" t="n">
        <x:v>135</x:v>
      </x:c>
      <x:c r="I469" s="23"/>
      <x:c r="J469" s="20"/>
      <x:c r="K469" s="26" t="n">
        <x:v>1</x:v>
      </x:c>
      <x:c r="L469" s="26" t="n">
        <x:v>1</x:v>
      </x:c>
      <x:c r="M469" s="14" t="str">
        <x:f>IF(AND(K469=1,L469=1),"both_correct",IF(K469=1,"vanilla_only",IF(L469=1,"candidate_only","both_wrong")))</x:f>
        <x:v>both_correct</x:v>
      </x:c>
      <x:c r="N469" s="26" t="n">
        <x:v>0</x:v>
      </x:c>
      <x:c r="O469" s="26" t="n">
        <x:v>0</x:v>
      </x:c>
    </x:row>
    <x:row r="470" ht="21" customHeight="1">
      <x:c r="A470" s="14" t="str">
        <x:v>ReAct 白盒单步规划</x:v>
      </x:c>
      <x:c r="B470" s="14" t="str">
        <x:v>TC00000002</x:v>
      </x:c>
      <x:c r="C470" s="17" t="n">
        <x:v>63.5598</x:v>
      </x:c>
      <x:c r="D470" s="17" t="n">
        <x:v>109.2607</x:v>
      </x:c>
      <x:c r="E470" s="17" t="n">
        <x:f>C470-D470</x:f>
        <x:v>-45.7009</x:v>
      </x:c>
      <x:c r="F470" s="20" t="n">
        <x:f>IFERROR(E470/C470,0)</x:f>
        <x:v>-0.7190220862872444</x:v>
      </x:c>
      <x:c r="G470" s="23" t="n">
        <x:v>1105</x:v>
      </x:c>
      <x:c r="H470" s="23" t="n">
        <x:v>98</x:v>
      </x:c>
      <x:c r="I470" s="23"/>
      <x:c r="J470" s="20"/>
      <x:c r="K470" s="26" t="n">
        <x:v>0</x:v>
      </x:c>
      <x:c r="L470" s="26" t="n">
        <x:v>0</x:v>
      </x:c>
      <x:c r="M470" s="14" t="str">
        <x:f>IF(AND(K470=1,L470=1),"both_correct",IF(K470=1,"vanilla_only",IF(L470=1,"candidate_only","both_wrong")))</x:f>
        <x:v>both_wrong</x:v>
      </x:c>
      <x:c r="N470" s="26" t="n">
        <x:v>0</x:v>
      </x:c>
      <x:c r="O470" s="26" t="n">
        <x:v>0</x:v>
      </x:c>
    </x:row>
    <x:row r="471" ht="21" customHeight="1">
      <x:c r="A471" s="14" t="str">
        <x:v>ReAct 白盒单步规划</x:v>
      </x:c>
      <x:c r="B471" s="14" t="str">
        <x:v>TC00000003</x:v>
      </x:c>
      <x:c r="C471" s="17" t="n">
        <x:v>44.2209</x:v>
      </x:c>
      <x:c r="D471" s="17" t="n">
        <x:v>115.8091</x:v>
      </x:c>
      <x:c r="E471" s="17" t="n">
        <x:f>C471-D471</x:f>
        <x:v>-71.5882</x:v>
      </x:c>
      <x:c r="F471" s="20" t="n">
        <x:f>IFERROR(E471/C471,0)</x:f>
        <x:v>-1.6188770468262745</x:v>
      </x:c>
      <x:c r="G471" s="23" t="n">
        <x:v>756</x:v>
      </x:c>
      <x:c r="H471" s="23" t="n">
        <x:v>95</x:v>
      </x:c>
      <x:c r="I471" s="23"/>
      <x:c r="J471" s="20"/>
      <x:c r="K471" s="26" t="n">
        <x:v>1</x:v>
      </x:c>
      <x:c r="L471" s="26" t="n">
        <x:v>1</x:v>
      </x:c>
      <x:c r="M471" s="14" t="str">
        <x:f>IF(AND(K471=1,L471=1),"both_correct",IF(K471=1,"vanilla_only",IF(L471=1,"candidate_only","both_wrong")))</x:f>
        <x:v>both_correct</x:v>
      </x:c>
      <x:c r="N471" s="26" t="n">
        <x:v>0</x:v>
      </x:c>
      <x:c r="O471" s="26" t="n">
        <x:v>0</x:v>
      </x:c>
    </x:row>
    <x:row r="472" ht="21" customHeight="1">
      <x:c r="A472" s="14" t="str">
        <x:v>ReAct 白盒单步规划</x:v>
      </x:c>
      <x:c r="B472" s="14" t="str">
        <x:v>TC00000004</x:v>
      </x:c>
      <x:c r="C472" s="17" t="n">
        <x:v>50.921</x:v>
      </x:c>
      <x:c r="D472" s="17" t="n">
        <x:v>96.6607</x:v>
      </x:c>
      <x:c r="E472" s="17" t="n">
        <x:f>C472-D472</x:f>
        <x:v>-45.739700000000006</x:v>
      </x:c>
      <x:c r="F472" s="20" t="n">
        <x:f>IFERROR(E472/C472,0)</x:f>
        <x:v>-0.8982482669232734</x:v>
      </x:c>
      <x:c r="G472" s="23" t="n">
        <x:v>897</x:v>
      </x:c>
      <x:c r="H472" s="23" t="n">
        <x:v>137</x:v>
      </x:c>
      <x:c r="I472" s="23"/>
      <x:c r="J472" s="20"/>
      <x:c r="K472" s="26" t="n">
        <x:v>1</x:v>
      </x:c>
      <x:c r="L472" s="26" t="n">
        <x:v>1</x:v>
      </x:c>
      <x:c r="M472" s="14" t="str">
        <x:f>IF(AND(K472=1,L472=1),"both_correct",IF(K472=1,"vanilla_only",IF(L472=1,"candidate_only","both_wrong")))</x:f>
        <x:v>both_correct</x:v>
      </x:c>
      <x:c r="N472" s="26" t="n">
        <x:v>0</x:v>
      </x:c>
      <x:c r="O472" s="26" t="n">
        <x:v>0</x:v>
      </x:c>
    </x:row>
    <x:row r="473" ht="21" customHeight="1">
      <x:c r="A473" s="14" t="str">
        <x:v>ReAct 白盒单步规划</x:v>
      </x:c>
      <x:c r="B473" s="14" t="str">
        <x:v>TC00000005</x:v>
      </x:c>
      <x:c r="C473" s="17" t="n">
        <x:v>80.3846</x:v>
      </x:c>
      <x:c r="D473" s="17" t="n">
        <x:v>93.9794</x:v>
      </x:c>
      <x:c r="E473" s="17" t="n">
        <x:f>C473-D473</x:f>
        <x:v>-13.594799999999992</x:v>
      </x:c>
      <x:c r="F473" s="20" t="n">
        <x:f>IFERROR(E473/C473,0)</x:f>
        <x:v>-0.16912194624343457</x:v>
      </x:c>
      <x:c r="G473" s="23" t="n">
        <x:v>1323</x:v>
      </x:c>
      <x:c r="H473" s="23" t="n">
        <x:v>107</x:v>
      </x:c>
      <x:c r="I473" s="23"/>
      <x:c r="J473" s="20"/>
      <x:c r="K473" s="26" t="n">
        <x:v>0</x:v>
      </x:c>
      <x:c r="L473" s="26" t="n">
        <x:v>1</x:v>
      </x:c>
      <x:c r="M473" s="14" t="str">
        <x:f>IF(AND(K473=1,L473=1),"both_correct",IF(K473=1,"vanilla_only",IF(L473=1,"candidate_only","both_wrong")))</x:f>
        <x:v>candidate_only</x:v>
      </x:c>
      <x:c r="N473" s="26" t="n">
        <x:v>0</x:v>
      </x:c>
      <x:c r="O473" s="26" t="n">
        <x:v>0</x:v>
      </x:c>
    </x:row>
    <x:row r="474" ht="21" customHeight="1">
      <x:c r="A474" s="14" t="str">
        <x:v>ReAct 白盒单步规划</x:v>
      </x:c>
      <x:c r="B474" s="14" t="str">
        <x:v>TC00000006</x:v>
      </x:c>
      <x:c r="C474" s="17" t="n">
        <x:v>48.8411</x:v>
      </x:c>
      <x:c r="D474" s="17" t="n">
        <x:v>64.4255</x:v>
      </x:c>
      <x:c r="E474" s="17" t="n">
        <x:f>C474-D474</x:f>
        <x:v>-15.584400000000002</x:v>
      </x:c>
      <x:c r="F474" s="20" t="n">
        <x:f>IFERROR(E474/C474,0)</x:f>
        <x:v>-0.3190837225205821</x:v>
      </x:c>
      <x:c r="G474" s="23" t="n">
        <x:v>775</x:v>
      </x:c>
      <x:c r="H474" s="23" t="n">
        <x:v>91</x:v>
      </x:c>
      <x:c r="I474" s="23"/>
      <x:c r="J474" s="20"/>
      <x:c r="K474" s="26" t="n">
        <x:v>1</x:v>
      </x:c>
      <x:c r="L474" s="26" t="n">
        <x:v>0</x:v>
      </x:c>
      <x:c r="M474" s="14" t="str">
        <x:f>IF(AND(K474=1,L474=1),"both_correct",IF(K474=1,"vanilla_only",IF(L474=1,"candidate_only","both_wrong")))</x:f>
        <x:v>vanilla_only</x:v>
      </x:c>
      <x:c r="N474" s="26" t="n">
        <x:v>0</x:v>
      </x:c>
      <x:c r="O474" s="26" t="n">
        <x:v>0</x:v>
      </x:c>
    </x:row>
    <x:row r="475" ht="21" customHeight="1">
      <x:c r="A475" s="14" t="str">
        <x:v>ReAct 白盒单步规划</x:v>
      </x:c>
      <x:c r="B475" s="14" t="str">
        <x:v>TC00000007</x:v>
      </x:c>
      <x:c r="C475" s="17" t="n">
        <x:v>46.2872</x:v>
      </x:c>
      <x:c r="D475" s="17" t="n">
        <x:v>62.436</x:v>
      </x:c>
      <x:c r="E475" s="17" t="n">
        <x:f>C475-D475</x:f>
        <x:v>-16.1488</x:v>
      </x:c>
      <x:c r="F475" s="20" t="n">
        <x:f>IFERROR(E475/C475,0)</x:f>
        <x:v>-0.34888262845883966</x:v>
      </x:c>
      <x:c r="G475" s="23" t="n">
        <x:v>813</x:v>
      </x:c>
      <x:c r="H475" s="23" t="n">
        <x:v>122</x:v>
      </x:c>
      <x:c r="I475" s="23"/>
      <x:c r="J475" s="20"/>
      <x:c r="K475" s="26" t="n">
        <x:v>1</x:v>
      </x:c>
      <x:c r="L475" s="26" t="n">
        <x:v>0</x:v>
      </x:c>
      <x:c r="M475" s="14" t="str">
        <x:f>IF(AND(K475=1,L475=1),"both_correct",IF(K475=1,"vanilla_only",IF(L475=1,"candidate_only","both_wrong")))</x:f>
        <x:v>vanilla_only</x:v>
      </x:c>
      <x:c r="N475" s="26" t="n">
        <x:v>0</x:v>
      </x:c>
      <x:c r="O475" s="26" t="n">
        <x:v>0</x:v>
      </x:c>
    </x:row>
    <x:row r="476" ht="21" customHeight="1">
      <x:c r="A476" s="14" t="str">
        <x:v>ReAct 白盒单步规划</x:v>
      </x:c>
      <x:c r="B476" s="14" t="str">
        <x:v>TC00000008</x:v>
      </x:c>
      <x:c r="C476" s="17" t="n">
        <x:v>52.0985</x:v>
      </x:c>
      <x:c r="D476" s="17" t="n">
        <x:v>61.2744</x:v>
      </x:c>
      <x:c r="E476" s="17" t="n">
        <x:f>C476-D476</x:f>
        <x:v>-9.175899999999999</x:v>
      </x:c>
      <x:c r="F476" s="20" t="n">
        <x:f>IFERROR(E476/C476,0)</x:f>
        <x:v>-0.17612599211109722</x:v>
      </x:c>
      <x:c r="G476" s="23" t="n">
        <x:v>931</x:v>
      </x:c>
      <x:c r="H476" s="23" t="n">
        <x:v>107</x:v>
      </x:c>
      <x:c r="I476" s="23"/>
      <x:c r="J476" s="20"/>
      <x:c r="K476" s="26" t="n">
        <x:v>1</x:v>
      </x:c>
      <x:c r="L476" s="26" t="n">
        <x:v>1</x:v>
      </x:c>
      <x:c r="M476" s="14" t="str">
        <x:f>IF(AND(K476=1,L476=1),"both_correct",IF(K476=1,"vanilla_only",IF(L476=1,"candidate_only","both_wrong")))</x:f>
        <x:v>both_correct</x:v>
      </x:c>
      <x:c r="N476" s="26" t="n">
        <x:v>0</x:v>
      </x:c>
      <x:c r="O476" s="26" t="n">
        <x:v>0</x:v>
      </x:c>
    </x:row>
    <x:row r="477" ht="21" customHeight="1">
      <x:c r="A477" s="14" t="str">
        <x:v>ReAct 白盒单步规划</x:v>
      </x:c>
      <x:c r="B477" s="14" t="str">
        <x:v>TC00000009</x:v>
      </x:c>
      <x:c r="C477" s="17" t="n">
        <x:v>52.9539</x:v>
      </x:c>
      <x:c r="D477" s="17" t="n">
        <x:v>67.1458</x:v>
      </x:c>
      <x:c r="E477" s="17" t="n">
        <x:f>C477-D477</x:f>
        <x:v>-14.191899999999997</x:v>
      </x:c>
      <x:c r="F477" s="20" t="n">
        <x:f>IFERROR(E477/C477,0)</x:f>
        <x:v>-0.26800481173246915</x:v>
      </x:c>
      <x:c r="G477" s="23" t="n">
        <x:v>901</x:v>
      </x:c>
      <x:c r="H477" s="23" t="n">
        <x:v>100</x:v>
      </x:c>
      <x:c r="I477" s="23"/>
      <x:c r="J477" s="20"/>
      <x:c r="K477" s="26" t="n">
        <x:v>1</x:v>
      </x:c>
      <x:c r="L477" s="26" t="n">
        <x:v>1</x:v>
      </x:c>
      <x:c r="M477" s="14" t="str">
        <x:f>IF(AND(K477=1,L477=1),"both_correct",IF(K477=1,"vanilla_only",IF(L477=1,"candidate_only","both_wrong")))</x:f>
        <x:v>both_correct</x:v>
      </x:c>
      <x:c r="N477" s="26" t="n">
        <x:v>0</x:v>
      </x:c>
      <x:c r="O477" s="26" t="n">
        <x:v>0</x:v>
      </x:c>
    </x:row>
    <x:row r="478" ht="21" customHeight="1">
      <x:c r="A478" s="14" t="str">
        <x:v>ReAct 白盒单步规划</x:v>
      </x:c>
      <x:c r="B478" s="14" t="str">
        <x:v>TC00000010</x:v>
      </x:c>
      <x:c r="C478" s="17" t="n">
        <x:v>42.8696</x:v>
      </x:c>
      <x:c r="D478" s="17" t="n">
        <x:v>42.898</x:v>
      </x:c>
      <x:c r="E478" s="17" t="n">
        <x:f>C478-D478</x:f>
        <x:v>-0.028400000000004866</x:v>
      </x:c>
      <x:c r="F478" s="20" t="n">
        <x:f>IFERROR(E478/C478,0)</x:f>
        <x:v>-0.0006624741075261926</x:v>
      </x:c>
      <x:c r="G478" s="23" t="n">
        <x:v>754</x:v>
      </x:c>
      <x:c r="H478" s="23" t="n">
        <x:v>102</x:v>
      </x:c>
      <x:c r="I478" s="23"/>
      <x:c r="J478" s="20"/>
      <x:c r="K478" s="26" t="n">
        <x:v>1</x:v>
      </x:c>
      <x:c r="L478" s="26" t="n">
        <x:v>1</x:v>
      </x:c>
      <x:c r="M478" s="14" t="str">
        <x:f>IF(AND(K478=1,L478=1),"both_correct",IF(K478=1,"vanilla_only",IF(L478=1,"candidate_only","both_wrong")))</x:f>
        <x:v>both_correct</x:v>
      </x:c>
      <x:c r="N478" s="26" t="n">
        <x:v>0</x:v>
      </x:c>
      <x:c r="O478" s="26" t="n">
        <x:v>0</x:v>
      </x:c>
    </x:row>
    <x:row r="479" ht="21" customHeight="1">
      <x:c r="A479" s="14" t="str">
        <x:v>ReAct 白盒单步规划</x:v>
      </x:c>
      <x:c r="B479" s="14" t="str">
        <x:v>TC00000011</x:v>
      </x:c>
      <x:c r="C479" s="17" t="n">
        <x:v>49.1853</x:v>
      </x:c>
      <x:c r="D479" s="17" t="n">
        <x:v>40.4631</x:v>
      </x:c>
      <x:c r="E479" s="17" t="n">
        <x:f>C479-D479</x:f>
        <x:v>8.7222</x:v>
      </x:c>
      <x:c r="F479" s="20" t="n">
        <x:f>IFERROR(E479/C479,0)</x:f>
        <x:v>0.17733347158602267</x:v>
      </x:c>
      <x:c r="G479" s="23" t="n">
        <x:v>840</x:v>
      </x:c>
      <x:c r="H479" s="23" t="n">
        <x:v>105</x:v>
      </x:c>
      <x:c r="I479" s="23"/>
      <x:c r="J479" s="20"/>
      <x:c r="K479" s="26" t="n">
        <x:v>1</x:v>
      </x:c>
      <x:c r="L479" s="26" t="n">
        <x:v>0</x:v>
      </x:c>
      <x:c r="M479" s="14" t="str">
        <x:f>IF(AND(K479=1,L479=1),"both_correct",IF(K479=1,"vanilla_only",IF(L479=1,"candidate_only","both_wrong")))</x:f>
        <x:v>vanilla_only</x:v>
      </x:c>
      <x:c r="N479" s="26" t="n">
        <x:v>0</x:v>
      </x:c>
      <x:c r="O479" s="26" t="n">
        <x:v>0</x:v>
      </x:c>
    </x:row>
    <x:row r="480" ht="21" customHeight="1">
      <x:c r="A480" s="14" t="str">
        <x:v>ReAct 白盒单步规划</x:v>
      </x:c>
      <x:c r="B480" s="14" t="str">
        <x:v>TC00000012</x:v>
      </x:c>
      <x:c r="C480" s="17" t="n">
        <x:v>66.0087</x:v>
      </x:c>
      <x:c r="D480" s="17" t="n">
        <x:v>39.7897</x:v>
      </x:c>
      <x:c r="E480" s="17" t="n">
        <x:f>C480-D480</x:f>
        <x:v>26.219</x:v>
      </x:c>
      <x:c r="F480" s="20" t="n">
        <x:f>IFERROR(E480/C480,0)</x:f>
        <x:v>0.39720521688807686</x:v>
      </x:c>
      <x:c r="G480" s="23" t="n">
        <x:v>1127</x:v>
      </x:c>
      <x:c r="H480" s="23" t="n">
        <x:v>113</x:v>
      </x:c>
      <x:c r="I480" s="23"/>
      <x:c r="J480" s="20"/>
      <x:c r="K480" s="26" t="n">
        <x:v>1</x:v>
      </x:c>
      <x:c r="L480" s="26" t="n">
        <x:v>1</x:v>
      </x:c>
      <x:c r="M480" s="14" t="str">
        <x:f>IF(AND(K480=1,L480=1),"both_correct",IF(K480=1,"vanilla_only",IF(L480=1,"candidate_only","both_wrong")))</x:f>
        <x:v>both_correct</x:v>
      </x:c>
      <x:c r="N480" s="26" t="n">
        <x:v>0</x:v>
      </x:c>
      <x:c r="O480" s="26" t="n">
        <x:v>0</x:v>
      </x:c>
    </x:row>
    <x:row r="481" ht="21" customHeight="1">
      <x:c r="A481" s="14" t="str">
        <x:v>ReAct 白盒单步规划</x:v>
      </x:c>
      <x:c r="B481" s="14" t="str">
        <x:v>TC00000013</x:v>
      </x:c>
      <x:c r="C481" s="17" t="n">
        <x:v>42.5776</x:v>
      </x:c>
      <x:c r="D481" s="17" t="n">
        <x:v>46.019</x:v>
      </x:c>
      <x:c r="E481" s="17" t="n">
        <x:f>C481-D481</x:f>
        <x:v>-3.4414000000000016</x:v>
      </x:c>
      <x:c r="F481" s="20" t="n">
        <x:f>IFERROR(E481/C481,0)</x:f>
        <x:v>-0.08082653789786183</x:v>
      </x:c>
      <x:c r="G481" s="23" t="n">
        <x:v>742</x:v>
      </x:c>
      <x:c r="H481" s="23" t="n">
        <x:v>119</x:v>
      </x:c>
      <x:c r="I481" s="23"/>
      <x:c r="J481" s="20"/>
      <x:c r="K481" s="26" t="n">
        <x:v>1</x:v>
      </x:c>
      <x:c r="L481" s="26" t="n">
        <x:v>1</x:v>
      </x:c>
      <x:c r="M481" s="14" t="str">
        <x:f>IF(AND(K481=1,L481=1),"both_correct",IF(K481=1,"vanilla_only",IF(L481=1,"candidate_only","both_wrong")))</x:f>
        <x:v>both_correct</x:v>
      </x:c>
      <x:c r="N481" s="26" t="n">
        <x:v>0</x:v>
      </x:c>
      <x:c r="O481" s="26" t="n">
        <x:v>0</x:v>
      </x:c>
    </x:row>
    <x:row r="482" ht="21" customHeight="1">
      <x:c r="A482" s="14" t="str">
        <x:v>ReAct 白盒单步规划</x:v>
      </x:c>
      <x:c r="B482" s="14" t="str">
        <x:v>TC00000014</x:v>
      </x:c>
      <x:c r="C482" s="17" t="n">
        <x:v>59.6977</x:v>
      </x:c>
      <x:c r="D482" s="17" t="n">
        <x:v>45.1684</x:v>
      </x:c>
      <x:c r="E482" s="17" t="n">
        <x:f>C482-D482</x:f>
        <x:v>14.5293</x:v>
      </x:c>
      <x:c r="F482" s="20" t="n">
        <x:f>IFERROR(E482/C482,0)</x:f>
        <x:v>0.24338123579300375</x:v>
      </x:c>
      <x:c r="G482" s="23" t="n">
        <x:v>1040</x:v>
      </x:c>
      <x:c r="H482" s="23" t="n">
        <x:v>122</x:v>
      </x:c>
      <x:c r="I482" s="23"/>
      <x:c r="J482" s="20"/>
      <x:c r="K482" s="26" t="n">
        <x:v>0</x:v>
      </x:c>
      <x:c r="L482" s="26" t="n">
        <x:v>0</x:v>
      </x:c>
      <x:c r="M482" s="14" t="str">
        <x:f>IF(AND(K482=1,L482=1),"both_correct",IF(K482=1,"vanilla_only",IF(L482=1,"candidate_only","both_wrong")))</x:f>
        <x:v>both_wrong</x:v>
      </x:c>
      <x:c r="N482" s="26" t="n">
        <x:v>0</x:v>
      </x:c>
      <x:c r="O482" s="26" t="n">
        <x:v>0</x:v>
      </x:c>
    </x:row>
    <x:row r="483" ht="21" customHeight="1">
      <x:c r="A483" s="14" t="str">
        <x:v>ReAct 白盒单步规划</x:v>
      </x:c>
      <x:c r="B483" s="14" t="str">
        <x:v>TC00000015</x:v>
      </x:c>
      <x:c r="C483" s="17" t="n">
        <x:v>50.9097</x:v>
      </x:c>
      <x:c r="D483" s="17" t="n">
        <x:v>41.6092</x:v>
      </x:c>
      <x:c r="E483" s="17" t="n">
        <x:f>C483-D483</x:f>
        <x:v>9.3005</x:v>
      </x:c>
      <x:c r="F483" s="20" t="n">
        <x:f>IFERROR(E483/C483,0)</x:f>
        <x:v>0.18268620714716446</x:v>
      </x:c>
      <x:c r="G483" s="23" t="n">
        <x:v>912</x:v>
      </x:c>
      <x:c r="H483" s="23" t="n">
        <x:v>129</x:v>
      </x:c>
      <x:c r="I483" s="23"/>
      <x:c r="J483" s="20"/>
      <x:c r="K483" s="26" t="n">
        <x:v>1</x:v>
      </x:c>
      <x:c r="L483" s="26" t="n">
        <x:v>1</x:v>
      </x:c>
      <x:c r="M483" s="14" t="str">
        <x:f>IF(AND(K483=1,L483=1),"both_correct",IF(K483=1,"vanilla_only",IF(L483=1,"candidate_only","both_wrong")))</x:f>
        <x:v>both_correct</x:v>
      </x:c>
      <x:c r="N483" s="26" t="n">
        <x:v>0</x:v>
      </x:c>
      <x:c r="O483" s="26" t="n">
        <x:v>0</x:v>
      </x:c>
    </x:row>
    <x:row r="484" ht="21" customHeight="1">
      <x:c r="A484" s="14" t="str">
        <x:v>ReAct 白盒单步规划</x:v>
      </x:c>
      <x:c r="B484" s="14" t="str">
        <x:v>TC00000018</x:v>
      </x:c>
      <x:c r="C484" s="17" t="n">
        <x:v>49.896</x:v>
      </x:c>
      <x:c r="D484" s="17" t="n">
        <x:v>41.5109</x:v>
      </x:c>
      <x:c r="E484" s="17" t="n">
        <x:f>C484-D484</x:f>
        <x:v>8.385100000000001</x:v>
      </x:c>
      <x:c r="F484" s="20" t="n">
        <x:f>IFERROR(E484/C484,0)</x:f>
        <x:v>0.16805154721821391</x:v>
      </x:c>
      <x:c r="G484" s="23" t="n">
        <x:v>903</x:v>
      </x:c>
      <x:c r="H484" s="23" t="n">
        <x:v>126</x:v>
      </x:c>
      <x:c r="I484" s="23"/>
      <x:c r="J484" s="20"/>
      <x:c r="K484" s="26" t="n">
        <x:v>1</x:v>
      </x:c>
      <x:c r="L484" s="26" t="n">
        <x:v>1</x:v>
      </x:c>
      <x:c r="M484" s="14" t="str">
        <x:f>IF(AND(K484=1,L484=1),"both_correct",IF(K484=1,"vanilla_only",IF(L484=1,"candidate_only","both_wrong")))</x:f>
        <x:v>both_correct</x:v>
      </x:c>
      <x:c r="N484" s="26" t="n">
        <x:v>0</x:v>
      </x:c>
      <x:c r="O484" s="26" t="n">
        <x:v>0</x:v>
      </x:c>
    </x:row>
    <x:row r="485" ht="21" customHeight="1">
      <x:c r="A485" s="14" t="str">
        <x:v>ReAct 白盒单步规划</x:v>
      </x:c>
      <x:c r="B485" s="14" t="str">
        <x:v>TC00000019</x:v>
      </x:c>
      <x:c r="C485" s="17" t="n">
        <x:v>69.0508</x:v>
      </x:c>
      <x:c r="D485" s="17" t="n">
        <x:v>46.9288</x:v>
      </x:c>
      <x:c r="E485" s="17" t="n">
        <x:f>C485-D485</x:f>
        <x:v>22.121999999999993</x:v>
      </x:c>
      <x:c r="F485" s="20" t="n">
        <x:f>IFERROR(E485/C485,0)</x:f>
        <x:v>0.3203728269621785</x:v>
      </x:c>
      <x:c r="G485" s="23" t="n">
        <x:v>1188</x:v>
      </x:c>
      <x:c r="H485" s="23" t="n">
        <x:v>112</x:v>
      </x:c>
      <x:c r="I485" s="23"/>
      <x:c r="J485" s="20"/>
      <x:c r="K485" s="26" t="n">
        <x:v>1</x:v>
      </x:c>
      <x:c r="L485" s="26" t="n">
        <x:v>1</x:v>
      </x:c>
      <x:c r="M485" s="14" t="str">
        <x:f>IF(AND(K485=1,L485=1),"both_correct",IF(K485=1,"vanilla_only",IF(L485=1,"candidate_only","both_wrong")))</x:f>
        <x:v>both_correct</x:v>
      </x:c>
      <x:c r="N485" s="26" t="n">
        <x:v>0</x:v>
      </x:c>
      <x:c r="O485" s="26" t="n">
        <x:v>0</x:v>
      </x:c>
    </x:row>
    <x:row r="486" ht="21" customHeight="1">
      <x:c r="A486" s="14" t="str">
        <x:v>ReAct 白盒单步规划</x:v>
      </x:c>
      <x:c r="B486" s="14" t="str">
        <x:v>TC00000020</x:v>
      </x:c>
      <x:c r="C486" s="17" t="n">
        <x:v>46.3352</x:v>
      </x:c>
      <x:c r="D486" s="17" t="n">
        <x:v>45.9968</x:v>
      </x:c>
      <x:c r="E486" s="17" t="n">
        <x:f>C486-D486</x:f>
        <x:v>0.33840000000000003</x:v>
      </x:c>
      <x:c r="F486" s="20" t="n">
        <x:f>IFERROR(E486/C486,0)</x:f>
        <x:v>0.007303302888516722</x:v>
      </x:c>
      <x:c r="G486" s="23" t="n">
        <x:v>830</x:v>
      </x:c>
      <x:c r="H486" s="23" t="n">
        <x:v>119</x:v>
      </x:c>
      <x:c r="I486" s="23"/>
      <x:c r="J486" s="20"/>
      <x:c r="K486" s="26" t="n">
        <x:v>1</x:v>
      </x:c>
      <x:c r="L486" s="26" t="n">
        <x:v>1</x:v>
      </x:c>
      <x:c r="M486" s="14" t="str">
        <x:f>IF(AND(K486=1,L486=1),"both_correct",IF(K486=1,"vanilla_only",IF(L486=1,"candidate_only","both_wrong")))</x:f>
        <x:v>both_correct</x:v>
      </x:c>
      <x:c r="N486" s="26" t="n">
        <x:v>0</x:v>
      </x:c>
      <x:c r="O486" s="26" t="n">
        <x:v>0</x:v>
      </x:c>
    </x:row>
    <x:row r="487" ht="21" customHeight="1">
      <x:c r="A487" s="14" t="str">
        <x:v>ReAct 白盒单步规划</x:v>
      </x:c>
      <x:c r="B487" s="14" t="str">
        <x:v>TC00000021</x:v>
      </x:c>
      <x:c r="C487" s="17" t="n">
        <x:v>49.8966</x:v>
      </x:c>
      <x:c r="D487" s="17" t="n">
        <x:v>49.47</x:v>
      </x:c>
      <x:c r="E487" s="17" t="n">
        <x:f>C487-D487</x:f>
        <x:v>0.42660000000000053</x:v>
      </x:c>
      <x:c r="F487" s="20" t="n">
        <x:f>IFERROR(E487/C487,0)</x:f>
        <x:v>0.008549680739769855</x:v>
      </x:c>
      <x:c r="G487" s="23" t="n">
        <x:v>868</x:v>
      </x:c>
      <x:c r="H487" s="23" t="n">
        <x:v>139</x:v>
      </x:c>
      <x:c r="I487" s="23"/>
      <x:c r="J487" s="20"/>
      <x:c r="K487" s="26" t="n">
        <x:v>1</x:v>
      </x:c>
      <x:c r="L487" s="26" t="n">
        <x:v>1</x:v>
      </x:c>
      <x:c r="M487" s="14" t="str">
        <x:f>IF(AND(K487=1,L487=1),"both_correct",IF(K487=1,"vanilla_only",IF(L487=1,"candidate_only","both_wrong")))</x:f>
        <x:v>both_correct</x:v>
      </x:c>
      <x:c r="N487" s="26" t="n">
        <x:v>0</x:v>
      </x:c>
      <x:c r="O487" s="26" t="n">
        <x:v>0</x:v>
      </x:c>
    </x:row>
    <x:row r="488" ht="21" customHeight="1">
      <x:c r="A488" s="14" t="str">
        <x:v>ReAct 白盒单步规划</x:v>
      </x:c>
      <x:c r="B488" s="14" t="str">
        <x:v>TC00000022</x:v>
      </x:c>
      <x:c r="C488" s="17" t="n">
        <x:v>54.4368</x:v>
      </x:c>
      <x:c r="D488" s="17" t="n">
        <x:v>48.3492</x:v>
      </x:c>
      <x:c r="E488" s="17" t="n">
        <x:f>C488-D488</x:f>
        <x:v>6.087599999999995</x:v>
      </x:c>
      <x:c r="F488" s="20" t="n">
        <x:f>IFERROR(E488/C488,0)</x:f>
        <x:v>0.11182876289568812</x:v>
      </x:c>
      <x:c r="G488" s="23" t="n">
        <x:v>965</x:v>
      </x:c>
      <x:c r="H488" s="23" t="n">
        <x:v>126</x:v>
      </x:c>
      <x:c r="I488" s="23"/>
      <x:c r="J488" s="20"/>
      <x:c r="K488" s="26" t="n">
        <x:v>1</x:v>
      </x:c>
      <x:c r="L488" s="26" t="n">
        <x:v>1</x:v>
      </x:c>
      <x:c r="M488" s="14" t="str">
        <x:f>IF(AND(K488=1,L488=1),"both_correct",IF(K488=1,"vanilla_only",IF(L488=1,"candidate_only","both_wrong")))</x:f>
        <x:v>both_correct</x:v>
      </x:c>
      <x:c r="N488" s="26" t="n">
        <x:v>0</x:v>
      </x:c>
      <x:c r="O488" s="26" t="n">
        <x:v>0</x:v>
      </x:c>
    </x:row>
    <x:row r="489" ht="21" customHeight="1">
      <x:c r="A489" s="14" t="str">
        <x:v>ReAct 白盒单步规划</x:v>
      </x:c>
      <x:c r="B489" s="14" t="str">
        <x:v>TC00000023</x:v>
      </x:c>
      <x:c r="C489" s="17" t="n">
        <x:v>109.3832</x:v>
      </x:c>
      <x:c r="D489" s="17" t="n">
        <x:v>114.5133</x:v>
      </x:c>
      <x:c r="E489" s="17" t="n">
        <x:f>C489-D489</x:f>
        <x:v>-5.130099999999999</x:v>
      </x:c>
      <x:c r="F489" s="20" t="n">
        <x:f>IFERROR(E489/C489,0)</x:f>
        <x:v>-0.046900255249435</x:v>
      </x:c>
      <x:c r="G489" s="23" t="n">
        <x:v>1703</x:v>
      </x:c>
      <x:c r="H489" s="23" t="n">
        <x:v>167</x:v>
      </x:c>
      <x:c r="I489" s="23"/>
      <x:c r="J489" s="20"/>
      <x:c r="K489" s="26" t="n">
        <x:v>0</x:v>
      </x:c>
      <x:c r="L489" s="26" t="n">
        <x:v>0</x:v>
      </x:c>
      <x:c r="M489" s="14" t="str">
        <x:f>IF(AND(K489=1,L489=1),"both_correct",IF(K489=1,"vanilla_only",IF(L489=1,"candidate_only","both_wrong")))</x:f>
        <x:v>both_wrong</x:v>
      </x:c>
      <x:c r="N489" s="26" t="n">
        <x:v>0</x:v>
      </x:c>
      <x:c r="O489" s="26" t="n">
        <x:v>0</x:v>
      </x:c>
    </x:row>
    <x:row r="490" ht="21" customHeight="1">
      <x:c r="A490" s="14" t="str">
        <x:v>ReAct 白盒单步规划</x:v>
      </x:c>
      <x:c r="B490" s="14" t="str">
        <x:v>TC00000024</x:v>
      </x:c>
      <x:c r="C490" s="17" t="n">
        <x:v>64.7331</x:v>
      </x:c>
      <x:c r="D490" s="17" t="n">
        <x:v>88.4987</x:v>
      </x:c>
      <x:c r="E490" s="17" t="n">
        <x:f>C490-D490</x:f>
        <x:v>-23.765600000000006</x:v>
      </x:c>
      <x:c r="F490" s="20" t="n">
        <x:f>IFERROR(E490/C490,0)</x:f>
        <x:v>-0.36713211633615583</x:v>
      </x:c>
      <x:c r="G490" s="23" t="n">
        <x:v>1043</x:v>
      </x:c>
      <x:c r="H490" s="23" t="n">
        <x:v>98</x:v>
      </x:c>
      <x:c r="I490" s="23"/>
      <x:c r="J490" s="20"/>
      <x:c r="K490" s="26" t="n">
        <x:v>1</x:v>
      </x:c>
      <x:c r="L490" s="26" t="n">
        <x:v>0</x:v>
      </x:c>
      <x:c r="M490" s="14" t="str">
        <x:f>IF(AND(K490=1,L490=1),"both_correct",IF(K490=1,"vanilla_only",IF(L490=1,"candidate_only","both_wrong")))</x:f>
        <x:v>vanilla_only</x:v>
      </x:c>
      <x:c r="N490" s="26" t="n">
        <x:v>0</x:v>
      </x:c>
      <x:c r="O490" s="26" t="n">
        <x:v>0</x:v>
      </x:c>
    </x:row>
    <x:row r="491" ht="21" customHeight="1">
      <x:c r="A491" s="14" t="str">
        <x:v>ReAct 白盒单步规划</x:v>
      </x:c>
      <x:c r="B491" s="14" t="str">
        <x:v>TC00000025</x:v>
      </x:c>
      <x:c r="C491" s="17" t="n">
        <x:v>45.1392</x:v>
      </x:c>
      <x:c r="D491" s="17" t="n">
        <x:v>43.1993</x:v>
      </x:c>
      <x:c r="E491" s="17" t="n">
        <x:f>C491-D491</x:f>
        <x:v>1.9399000000000015</x:v>
      </x:c>
      <x:c r="F491" s="20" t="n">
        <x:f>IFERROR(E491/C491,0)</x:f>
        <x:v>0.04297594995037576</x:v>
      </x:c>
      <x:c r="G491" s="23" t="n">
        <x:v>767</x:v>
      </x:c>
      <x:c r="H491" s="23" t="n">
        <x:v>116</x:v>
      </x:c>
      <x:c r="I491" s="23"/>
      <x:c r="J491" s="20"/>
      <x:c r="K491" s="26" t="n">
        <x:v>1</x:v>
      </x:c>
      <x:c r="L491" s="26" t="n">
        <x:v>1</x:v>
      </x:c>
      <x:c r="M491" s="14" t="str">
        <x:f>IF(AND(K491=1,L491=1),"both_correct",IF(K491=1,"vanilla_only",IF(L491=1,"candidate_only","both_wrong")))</x:f>
        <x:v>both_correct</x:v>
      </x:c>
      <x:c r="N491" s="26" t="n">
        <x:v>0</x:v>
      </x:c>
      <x:c r="O491" s="26" t="n">
        <x:v>0</x:v>
      </x:c>
    </x:row>
    <x:row r="492" ht="21" customHeight="1">
      <x:c r="A492" s="14" t="str">
        <x:v>ReAct 白盒单步规划</x:v>
      </x:c>
      <x:c r="B492" s="14" t="str">
        <x:v>TC00000026</x:v>
      </x:c>
      <x:c r="C492" s="17" t="n">
        <x:v>72.7362</x:v>
      </x:c>
      <x:c r="D492" s="17" t="n">
        <x:v>80.7328</x:v>
      </x:c>
      <x:c r="E492" s="17" t="n">
        <x:f>C492-D492</x:f>
        <x:v>-7.996600000000001</x:v>
      </x:c>
      <x:c r="F492" s="20" t="n">
        <x:f>IFERROR(E492/C492,0)</x:f>
        <x:v>-0.10993975489508664</x:v>
      </x:c>
      <x:c r="G492" s="23" t="n">
        <x:v>1344</x:v>
      </x:c>
      <x:c r="H492" s="23" t="n">
        <x:v>162</x:v>
      </x:c>
      <x:c r="I492" s="23"/>
      <x:c r="J492" s="20"/>
      <x:c r="K492" s="26" t="n">
        <x:v>0</x:v>
      </x:c>
      <x:c r="L492" s="26" t="n">
        <x:v>0</x:v>
      </x:c>
      <x:c r="M492" s="14" t="str">
        <x:f>IF(AND(K492=1,L492=1),"both_correct",IF(K492=1,"vanilla_only",IF(L492=1,"candidate_only","both_wrong")))</x:f>
        <x:v>both_wrong</x:v>
      </x:c>
      <x:c r="N492" s="26" t="n">
        <x:v>0</x:v>
      </x:c>
      <x:c r="O492" s="26" t="n">
        <x:v>0</x:v>
      </x:c>
    </x:row>
    <x:row r="493" ht="21" customHeight="1">
      <x:c r="A493" s="14" t="str">
        <x:v>ReAct 白盒单步规划</x:v>
      </x:c>
      <x:c r="B493" s="14" t="str">
        <x:v>TC00000027</x:v>
      </x:c>
      <x:c r="C493" s="17" t="n">
        <x:v>41.9849</x:v>
      </x:c>
      <x:c r="D493" s="17" t="n">
        <x:v>61.267</x:v>
      </x:c>
      <x:c r="E493" s="17" t="n">
        <x:f>C493-D493</x:f>
        <x:v>-19.2821</x:v>
      </x:c>
      <x:c r="F493" s="20" t="n">
        <x:f>IFERROR(E493/C493,0)</x:f>
        <x:v>-0.4592627349356554</x:v>
      </x:c>
      <x:c r="G493" s="23" t="n">
        <x:v>696</x:v>
      </x:c>
      <x:c r="H493" s="23" t="n">
        <x:v>119</x:v>
      </x:c>
      <x:c r="I493" s="23"/>
      <x:c r="J493" s="20"/>
      <x:c r="K493" s="26" t="n">
        <x:v>1</x:v>
      </x:c>
      <x:c r="L493" s="26" t="n">
        <x:v>1</x:v>
      </x:c>
      <x:c r="M493" s="14" t="str">
        <x:f>IF(AND(K493=1,L493=1),"both_correct",IF(K493=1,"vanilla_only",IF(L493=1,"candidate_only","both_wrong")))</x:f>
        <x:v>both_correct</x:v>
      </x:c>
      <x:c r="N493" s="26" t="n">
        <x:v>0</x:v>
      </x:c>
      <x:c r="O493" s="26" t="n">
        <x:v>0</x:v>
      </x:c>
    </x:row>
    <x:row r="494" ht="21" customHeight="1">
      <x:c r="A494" s="14" t="str">
        <x:v>ReAct 白盒单步规划</x:v>
      </x:c>
      <x:c r="B494" s="14" t="str">
        <x:v>TC00000028</x:v>
      </x:c>
      <x:c r="C494" s="17" t="n">
        <x:v>44.8297</x:v>
      </x:c>
      <x:c r="D494" s="17" t="n">
        <x:v>59.532</x:v>
      </x:c>
      <x:c r="E494" s="17" t="n">
        <x:f>C494-D494</x:f>
        <x:v>-14.702299999999994</x:v>
      </x:c>
      <x:c r="F494" s="20" t="n">
        <x:f>IFERROR(E494/C494,0)</x:f>
        <x:v>-0.3279589200909217</x:v>
      </x:c>
      <x:c r="G494" s="23" t="n">
        <x:v>763</x:v>
      </x:c>
      <x:c r="H494" s="23" t="n">
        <x:v>100</x:v>
      </x:c>
      <x:c r="I494" s="23"/>
      <x:c r="J494" s="20"/>
      <x:c r="K494" s="26" t="n">
        <x:v>1</x:v>
      </x:c>
      <x:c r="L494" s="26" t="n">
        <x:v>1</x:v>
      </x:c>
      <x:c r="M494" s="14" t="str">
        <x:f>IF(AND(K494=1,L494=1),"both_correct",IF(K494=1,"vanilla_only",IF(L494=1,"candidate_only","both_wrong")))</x:f>
        <x:v>both_correct</x:v>
      </x:c>
      <x:c r="N494" s="26" t="n">
        <x:v>0</x:v>
      </x:c>
      <x:c r="O494" s="26" t="n">
        <x:v>0</x:v>
      </x:c>
    </x:row>
    <x:row r="495" ht="21" customHeight="1">
      <x:c r="A495" s="14" t="str">
        <x:v>ReAct 白盒单步规划</x:v>
      </x:c>
      <x:c r="B495" s="14" t="str">
        <x:v>TC00000029</x:v>
      </x:c>
      <x:c r="C495" s="17" t="n">
        <x:v>57.5678</x:v>
      </x:c>
      <x:c r="D495" s="17" t="n">
        <x:v>40.1845</x:v>
      </x:c>
      <x:c r="E495" s="17" t="n">
        <x:f>C495-D495</x:f>
        <x:v>17.3833</x:v>
      </x:c>
      <x:c r="F495" s="20" t="n">
        <x:f>IFERROR(E495/C495,0)</x:f>
        <x:v>0.3019622080399112</x:v>
      </x:c>
      <x:c r="G495" s="23" t="n">
        <x:v>1015</x:v>
      </x:c>
      <x:c r="H495" s="23" t="n">
        <x:v>112</x:v>
      </x:c>
      <x:c r="I495" s="23"/>
      <x:c r="J495" s="20"/>
      <x:c r="K495" s="26" t="n">
        <x:v>1</x:v>
      </x:c>
      <x:c r="L495" s="26" t="n">
        <x:v>1</x:v>
      </x:c>
      <x:c r="M495" s="14" t="str">
        <x:f>IF(AND(K495=1,L495=1),"both_correct",IF(K495=1,"vanilla_only",IF(L495=1,"candidate_only","both_wrong")))</x:f>
        <x:v>both_correct</x:v>
      </x:c>
      <x:c r="N495" s="26" t="n">
        <x:v>0</x:v>
      </x:c>
      <x:c r="O495" s="26" t="n">
        <x:v>0</x:v>
      </x:c>
    </x:row>
    <x:row r="496" ht="21" customHeight="1">
      <x:c r="A496" s="14" t="str">
        <x:v>ReAct 白盒单步规划</x:v>
      </x:c>
      <x:c r="B496" s="14" t="str">
        <x:v>TC00000030</x:v>
      </x:c>
      <x:c r="C496" s="17" t="n">
        <x:v>41.7973</x:v>
      </x:c>
      <x:c r="D496" s="17" t="n">
        <x:v>59.9581</x:v>
      </x:c>
      <x:c r="E496" s="17" t="n">
        <x:f>C496-D496</x:f>
        <x:v>-18.160800000000002</x:v>
      </x:c>
      <x:c r="F496" s="20" t="n">
        <x:f>IFERROR(E496/C496,0)</x:f>
        <x:v>-0.4344969651149716</x:v>
      </x:c>
      <x:c r="G496" s="23" t="n">
        <x:v>638</x:v>
      </x:c>
      <x:c r="H496" s="23" t="n">
        <x:v>97</x:v>
      </x:c>
      <x:c r="I496" s="23"/>
      <x:c r="J496" s="20"/>
      <x:c r="K496" s="26" t="n">
        <x:v>1</x:v>
      </x:c>
      <x:c r="L496" s="26" t="n">
        <x:v>1</x:v>
      </x:c>
      <x:c r="M496" s="14" t="str">
        <x:f>IF(AND(K496=1,L496=1),"both_correct",IF(K496=1,"vanilla_only",IF(L496=1,"candidate_only","both_wrong")))</x:f>
        <x:v>both_correct</x:v>
      </x:c>
      <x:c r="N496" s="26" t="n">
        <x:v>0</x:v>
      </x:c>
      <x:c r="O496" s="26" t="n">
        <x:v>0</x:v>
      </x:c>
    </x:row>
    <x:row r="497" ht="21" customHeight="1">
      <x:c r="A497" s="14" t="str">
        <x:v>ReAct 白盒单步规划</x:v>
      </x:c>
      <x:c r="B497" s="14" t="str">
        <x:v>TC00000031</x:v>
      </x:c>
      <x:c r="C497" s="17" t="n">
        <x:v>48.5161</x:v>
      </x:c>
      <x:c r="D497" s="17" t="n">
        <x:v>42.0729</x:v>
      </x:c>
      <x:c r="E497" s="17" t="n">
        <x:f>C497-D497</x:f>
        <x:v>6.4432000000000045</x:v>
      </x:c>
      <x:c r="F497" s="20" t="n">
        <x:f>IFERROR(E497/C497,0)</x:f>
        <x:v>0.13280539862025192</x:v>
      </x:c>
      <x:c r="G497" s="23" t="n">
        <x:v>840</x:v>
      </x:c>
      <x:c r="H497" s="23" t="n">
        <x:v>105</x:v>
      </x:c>
      <x:c r="I497" s="23"/>
      <x:c r="J497" s="20"/>
      <x:c r="K497" s="26" t="n">
        <x:v>1</x:v>
      </x:c>
      <x:c r="L497" s="26" t="n">
        <x:v>1</x:v>
      </x:c>
      <x:c r="M497" s="14" t="str">
        <x:f>IF(AND(K497=1,L497=1),"both_correct",IF(K497=1,"vanilla_only",IF(L497=1,"candidate_only","both_wrong")))</x:f>
        <x:v>both_correct</x:v>
      </x:c>
      <x:c r="N497" s="26" t="n">
        <x:v>0</x:v>
      </x:c>
      <x:c r="O497" s="26" t="n">
        <x:v>0</x:v>
      </x:c>
    </x:row>
    <x:row r="498" ht="21" customHeight="1">
      <x:c r="A498" s="14" t="str">
        <x:v>ReAct 白盒单步规划</x:v>
      </x:c>
      <x:c r="B498" s="14" t="str">
        <x:v>TC00000032</x:v>
      </x:c>
      <x:c r="C498" s="17" t="n">
        <x:v>56.2557</x:v>
      </x:c>
      <x:c r="D498" s="17" t="n">
        <x:v>39.5744</x:v>
      </x:c>
      <x:c r="E498" s="17" t="n">
        <x:f>C498-D498</x:f>
        <x:v>16.6813</x:v>
      </x:c>
      <x:c r="F498" s="20" t="n">
        <x:f>IFERROR(E498/C498,0)</x:f>
        <x:v>0.29652639643627227</x:v>
      </x:c>
      <x:c r="G498" s="23" t="n">
        <x:v>951</x:v>
      </x:c>
      <x:c r="H498" s="23" t="n">
        <x:v>119</x:v>
      </x:c>
      <x:c r="I498" s="23"/>
      <x:c r="J498" s="20"/>
      <x:c r="K498" s="26" t="n">
        <x:v>1</x:v>
      </x:c>
      <x:c r="L498" s="26" t="n">
        <x:v>1</x:v>
      </x:c>
      <x:c r="M498" s="14" t="str">
        <x:f>IF(AND(K498=1,L498=1),"both_correct",IF(K498=1,"vanilla_only",IF(L498=1,"candidate_only","both_wrong")))</x:f>
        <x:v>both_correct</x:v>
      </x:c>
      <x:c r="N498" s="26" t="n">
        <x:v>0</x:v>
      </x:c>
      <x:c r="O498" s="26" t="n">
        <x:v>0</x:v>
      </x:c>
    </x:row>
    <x:row r="499" ht="21" customHeight="1">
      <x:c r="A499" s="14" t="str">
        <x:v>ReAct 白盒单步规划</x:v>
      </x:c>
      <x:c r="B499" s="14" t="str">
        <x:v>TC00000033</x:v>
      </x:c>
      <x:c r="C499" s="17" t="n">
        <x:v>52.2879</x:v>
      </x:c>
      <x:c r="D499" s="17" t="n">
        <x:v>57.6337</x:v>
      </x:c>
      <x:c r="E499" s="17" t="n">
        <x:f>C499-D499</x:f>
        <x:v>-5.345799999999997</x:v>
      </x:c>
      <x:c r="F499" s="20" t="n">
        <x:f>IFERROR(E499/C499,0)</x:f>
        <x:v>-0.10223780262737645</x:v>
      </x:c>
      <x:c r="G499" s="23" t="n">
        <x:v>846</x:v>
      </x:c>
      <x:c r="H499" s="23" t="n">
        <x:v>112</x:v>
      </x:c>
      <x:c r="I499" s="23"/>
      <x:c r="J499" s="20"/>
      <x:c r="K499" s="26" t="n">
        <x:v>1</x:v>
      </x:c>
      <x:c r="L499" s="26" t="n">
        <x:v>1</x:v>
      </x:c>
      <x:c r="M499" s="14" t="str">
        <x:f>IF(AND(K499=1,L499=1),"both_correct",IF(K499=1,"vanilla_only",IF(L499=1,"candidate_only","both_wrong")))</x:f>
        <x:v>both_correct</x:v>
      </x:c>
      <x:c r="N499" s="26" t="n">
        <x:v>0</x:v>
      </x:c>
      <x:c r="O499" s="26" t="n">
        <x:v>0</x:v>
      </x:c>
    </x:row>
    <x:row r="500" ht="21" customHeight="1">
      <x:c r="A500" s="14" t="str">
        <x:v>ReAct 白盒单步规划</x:v>
      </x:c>
      <x:c r="B500" s="14" t="str">
        <x:v>TC00000034</x:v>
      </x:c>
      <x:c r="C500" s="17" t="n">
        <x:v>43.8216</x:v>
      </x:c>
      <x:c r="D500" s="17" t="n">
        <x:v>38.5314</x:v>
      </x:c>
      <x:c r="E500" s="17" t="n">
        <x:f>C500-D500</x:f>
        <x:v>5.290199999999999</x:v>
      </x:c>
      <x:c r="F500" s="20" t="n">
        <x:f>IFERROR(E500/C500,0)</x:f>
        <x:v>0.12072128813188014</x:v>
      </x:c>
      <x:c r="G500" s="23" t="n">
        <x:v>749</x:v>
      </x:c>
      <x:c r="H500" s="23" t="n">
        <x:v>102</x:v>
      </x:c>
      <x:c r="I500" s="23"/>
      <x:c r="J500" s="20"/>
      <x:c r="K500" s="26" t="n">
        <x:v>1</x:v>
      </x:c>
      <x:c r="L500" s="26" t="n">
        <x:v>1</x:v>
      </x:c>
      <x:c r="M500" s="14" t="str">
        <x:f>IF(AND(K500=1,L500=1),"both_correct",IF(K500=1,"vanilla_only",IF(L500=1,"candidate_only","both_wrong")))</x:f>
        <x:v>both_correct</x:v>
      </x:c>
      <x:c r="N500" s="26" t="n">
        <x:v>0</x:v>
      </x:c>
      <x:c r="O500" s="26" t="n">
        <x:v>0</x:v>
      </x:c>
    </x:row>
    <x:row r="501" ht="21" customHeight="1">
      <x:c r="A501" s="14" t="str">
        <x:v>ReAct 白盒单步规划</x:v>
      </x:c>
      <x:c r="B501" s="14" t="str">
        <x:v>TC00000035</x:v>
      </x:c>
      <x:c r="C501" s="17" t="n">
        <x:v>43.3547</x:v>
      </x:c>
      <x:c r="D501" s="17" t="n">
        <x:v>42.2719</x:v>
      </x:c>
      <x:c r="E501" s="17" t="n">
        <x:f>C501-D501</x:f>
        <x:v>1.0827999999999989</x:v>
      </x:c>
      <x:c r="F501" s="20" t="n">
        <x:f>IFERROR(E501/C501,0)</x:f>
        <x:v>0.024975377525389378</x:v>
      </x:c>
      <x:c r="G501" s="23" t="n">
        <x:v>749</x:v>
      </x:c>
      <x:c r="H501" s="23" t="n">
        <x:v>105</x:v>
      </x:c>
      <x:c r="I501" s="23"/>
      <x:c r="J501" s="20"/>
      <x:c r="K501" s="26" t="n">
        <x:v>1</x:v>
      </x:c>
      <x:c r="L501" s="26" t="n">
        <x:v>1</x:v>
      </x:c>
      <x:c r="M501" s="14" t="str">
        <x:f>IF(AND(K501=1,L501=1),"both_correct",IF(K501=1,"vanilla_only",IF(L501=1,"candidate_only","both_wrong")))</x:f>
        <x:v>both_correct</x:v>
      </x:c>
      <x:c r="N501" s="26" t="n">
        <x:v>0</x:v>
      </x:c>
      <x:c r="O501" s="26" t="n">
        <x:v>0</x:v>
      </x:c>
    </x:row>
    <x:row r="502" ht="21" customHeight="1">
      <x:c r="A502" s="14" t="str">
        <x:v>ReAct 白盒单步规划</x:v>
      </x:c>
      <x:c r="B502" s="14" t="str">
        <x:v>TC00000036</x:v>
      </x:c>
      <x:c r="C502" s="17" t="n">
        <x:v>60.2125</x:v>
      </x:c>
      <x:c r="D502" s="17" t="n">
        <x:v>42.2855</x:v>
      </x:c>
      <x:c r="E502" s="17" t="n">
        <x:f>C502-D502</x:f>
        <x:v>17.927</x:v>
      </x:c>
      <x:c r="F502" s="20" t="n">
        <x:f>IFERROR(E502/C502,0)</x:f>
        <x:v>0.2977288768943326</x:v>
      </x:c>
      <x:c r="G502" s="23" t="n">
        <x:v>1039</x:v>
      </x:c>
      <x:c r="H502" s="23" t="n">
        <x:v>135</x:v>
      </x:c>
      <x:c r="I502" s="23"/>
      <x:c r="J502" s="20"/>
      <x:c r="K502" s="26" t="n">
        <x:v>1</x:v>
      </x:c>
      <x:c r="L502" s="26" t="n">
        <x:v>1</x:v>
      </x:c>
      <x:c r="M502" s="14" t="str">
        <x:f>IF(AND(K502=1,L502=1),"both_correct",IF(K502=1,"vanilla_only",IF(L502=1,"candidate_only","both_wrong")))</x:f>
        <x:v>both_correct</x:v>
      </x:c>
      <x:c r="N502" s="26" t="n">
        <x:v>0</x:v>
      </x:c>
      <x:c r="O502" s="26" t="n">
        <x:v>0</x:v>
      </x:c>
    </x:row>
    <x:row r="503" ht="21" customHeight="1">
      <x:c r="A503" s="14" t="str">
        <x:v>ReAct 白盒单步规划</x:v>
      </x:c>
      <x:c r="B503" s="14" t="str">
        <x:v>TC00000037</x:v>
      </x:c>
      <x:c r="C503" s="17" t="n">
        <x:v>42.7331</x:v>
      </x:c>
      <x:c r="D503" s="17" t="n">
        <x:v>39.7843</x:v>
      </x:c>
      <x:c r="E503" s="17" t="n">
        <x:f>C503-D503</x:f>
        <x:v>2.9487999999999985</x:v>
      </x:c>
      <x:c r="F503" s="20" t="n">
        <x:f>IFERROR(E503/C503,0)</x:f>
        <x:v>0.06900505696988982</x:v>
      </x:c>
      <x:c r="G503" s="23" t="n">
        <x:v>724</x:v>
      </x:c>
      <x:c r="H503" s="23" t="n">
        <x:v>110</x:v>
      </x:c>
      <x:c r="I503" s="23"/>
      <x:c r="J503" s="20"/>
      <x:c r="K503" s="26" t="n">
        <x:v>1</x:v>
      </x:c>
      <x:c r="L503" s="26" t="n">
        <x:v>1</x:v>
      </x:c>
      <x:c r="M503" s="14" t="str">
        <x:f>IF(AND(K503=1,L503=1),"both_correct",IF(K503=1,"vanilla_only",IF(L503=1,"candidate_only","both_wrong")))</x:f>
        <x:v>both_correct</x:v>
      </x:c>
      <x:c r="N503" s="26" t="n">
        <x:v>0</x:v>
      </x:c>
      <x:c r="O503" s="26" t="n">
        <x:v>0</x:v>
      </x:c>
    </x:row>
    <x:row r="504" ht="21" customHeight="1">
      <x:c r="A504" s="14" t="str">
        <x:v>ReAct 白盒单步规划</x:v>
      </x:c>
      <x:c r="B504" s="14" t="str">
        <x:v>TC00000038</x:v>
      </x:c>
      <x:c r="C504" s="17" t="n">
        <x:v>50.9008</x:v>
      </x:c>
      <x:c r="D504" s="17" t="n">
        <x:v>41.0387</x:v>
      </x:c>
      <x:c r="E504" s="17" t="n">
        <x:f>C504-D504</x:f>
        <x:v>9.862099999999998</x:v>
      </x:c>
      <x:c r="F504" s="20" t="n">
        <x:f>IFERROR(E504/C504,0)</x:f>
        <x:v>0.19375137522396502</x:v>
      </x:c>
      <x:c r="G504" s="23" t="n">
        <x:v>860</x:v>
      </x:c>
      <x:c r="H504" s="23" t="n">
        <x:v>118</x:v>
      </x:c>
      <x:c r="I504" s="23"/>
      <x:c r="J504" s="20"/>
      <x:c r="K504" s="26" t="n">
        <x:v>1</x:v>
      </x:c>
      <x:c r="L504" s="26" t="n">
        <x:v>1</x:v>
      </x:c>
      <x:c r="M504" s="14" t="str">
        <x:f>IF(AND(K504=1,L504=1),"both_correct",IF(K504=1,"vanilla_only",IF(L504=1,"candidate_only","both_wrong")))</x:f>
        <x:v>both_correct</x:v>
      </x:c>
      <x:c r="N504" s="26" t="n">
        <x:v>0</x:v>
      </x:c>
      <x:c r="O504" s="26" t="n">
        <x:v>0</x:v>
      </x:c>
    </x:row>
    <x:row r="505" ht="21" customHeight="1">
      <x:c r="A505" s="14" t="str">
        <x:v>ReAct 白盒单步规划</x:v>
      </x:c>
      <x:c r="B505" s="14" t="str">
        <x:v>TC00000039</x:v>
      </x:c>
      <x:c r="C505" s="17" t="n">
        <x:v>55.9215</x:v>
      </x:c>
      <x:c r="D505" s="17" t="n">
        <x:v>40.0261</x:v>
      </x:c>
      <x:c r="E505" s="17" t="n">
        <x:f>C505-D505</x:f>
        <x:v>15.895400000000002</x:v>
      </x:c>
      <x:c r="F505" s="20" t="n">
        <x:f>IFERROR(E505/C505,0)</x:f>
        <x:v>0.2842448789821446</x:v>
      </x:c>
      <x:c r="G505" s="23" t="n">
        <x:v>1023</x:v>
      </x:c>
      <x:c r="H505" s="23" t="n">
        <x:v>119</x:v>
      </x:c>
      <x:c r="I505" s="23"/>
      <x:c r="J505" s="20"/>
      <x:c r="K505" s="26" t="n">
        <x:v>1</x:v>
      </x:c>
      <x:c r="L505" s="26" t="n">
        <x:v>1</x:v>
      </x:c>
      <x:c r="M505" s="14" t="str">
        <x:f>IF(AND(K505=1,L505=1),"both_correct",IF(K505=1,"vanilla_only",IF(L505=1,"candidate_only","both_wrong")))</x:f>
        <x:v>both_correct</x:v>
      </x:c>
      <x:c r="N505" s="26" t="n">
        <x:v>0</x:v>
      </x:c>
      <x:c r="O505" s="26" t="n">
        <x:v>0</x:v>
      </x:c>
    </x:row>
    <x:row r="506" ht="21" customHeight="1">
      <x:c r="A506" s="14" t="str">
        <x:v>ReAct 白盒单步规划</x:v>
      </x:c>
      <x:c r="B506" s="14" t="str">
        <x:v>TC00000040</x:v>
      </x:c>
      <x:c r="C506" s="17" t="n">
        <x:v>45.0447</x:v>
      </x:c>
      <x:c r="D506" s="17" t="n">
        <x:v>40.0448</x:v>
      </x:c>
      <x:c r="E506" s="17" t="n">
        <x:f>C506-D506</x:f>
        <x:v>4.999899999999997</x:v>
      </x:c>
      <x:c r="F506" s="20" t="n">
        <x:f>IFERROR(E506/C506,0)</x:f>
        <x:v>0.11099863024950764</x:v>
      </x:c>
      <x:c r="G506" s="23" t="n">
        <x:v>798</x:v>
      </x:c>
      <x:c r="H506" s="23" t="n">
        <x:v>97</x:v>
      </x:c>
      <x:c r="I506" s="23"/>
      <x:c r="J506" s="20"/>
      <x:c r="K506" s="26" t="n">
        <x:v>1</x:v>
      </x:c>
      <x:c r="L506" s="26" t="n">
        <x:v>1</x:v>
      </x:c>
      <x:c r="M506" s="14" t="str">
        <x:f>IF(AND(K506=1,L506=1),"both_correct",IF(K506=1,"vanilla_only",IF(L506=1,"candidate_only","both_wrong")))</x:f>
        <x:v>both_correct</x:v>
      </x:c>
      <x:c r="N506" s="26" t="n">
        <x:v>0</x:v>
      </x:c>
      <x:c r="O506" s="26" t="n">
        <x:v>0</x:v>
      </x:c>
    </x:row>
    <x:row r="507" ht="21" customHeight="1">
      <x:c r="A507" s="14" t="str">
        <x:v>ReAct 白盒单步规划</x:v>
      </x:c>
      <x:c r="B507" s="14" t="str">
        <x:v>TC00000041</x:v>
      </x:c>
      <x:c r="C507" s="17" t="n">
        <x:v>60.9932</x:v>
      </x:c>
      <x:c r="D507" s="17" t="n">
        <x:v>57.4356</x:v>
      </x:c>
      <x:c r="E507" s="17" t="n">
        <x:f>C507-D507</x:f>
        <x:v>3.5576000000000008</x:v>
      </x:c>
      <x:c r="F507" s="20" t="n">
        <x:f>IFERROR(E507/C507,0)</x:f>
        <x:v>0.058327813592334896</x:v>
      </x:c>
      <x:c r="G507" s="23" t="n">
        <x:v>1056</x:v>
      </x:c>
      <x:c r="H507" s="23" t="n">
        <x:v>99</x:v>
      </x:c>
      <x:c r="I507" s="23"/>
      <x:c r="J507" s="20"/>
      <x:c r="K507" s="26" t="n">
        <x:v>1</x:v>
      </x:c>
      <x:c r="L507" s="26" t="n">
        <x:v>1</x:v>
      </x:c>
      <x:c r="M507" s="14" t="str">
        <x:f>IF(AND(K507=1,L507=1),"both_correct",IF(K507=1,"vanilla_only",IF(L507=1,"candidate_only","both_wrong")))</x:f>
        <x:v>both_correct</x:v>
      </x:c>
      <x:c r="N507" s="26" t="n">
        <x:v>0</x:v>
      </x:c>
      <x:c r="O507" s="26" t="n">
        <x:v>0</x:v>
      </x:c>
    </x:row>
    <x:row r="508" ht="21" customHeight="1">
      <x:c r="A508" s="14" t="str">
        <x:v>ReAct 白盒单步规划</x:v>
      </x:c>
      <x:c r="B508" s="14" t="str">
        <x:v>TC00000042</x:v>
      </x:c>
      <x:c r="C508" s="17" t="n">
        <x:v>50.8186</x:v>
      </x:c>
      <x:c r="D508" s="17" t="n">
        <x:v>38.8305</x:v>
      </x:c>
      <x:c r="E508" s="17" t="n">
        <x:f>C508-D508</x:f>
        <x:v>11.988100000000003</x:v>
      </x:c>
      <x:c r="F508" s="20" t="n">
        <x:f>IFERROR(E508/C508,0)</x:f>
        <x:v>0.23589984769356107</x:v>
      </x:c>
      <x:c r="G508" s="23" t="n">
        <x:v>866</x:v>
      </x:c>
      <x:c r="H508" s="23" t="n">
        <x:v>116</x:v>
      </x:c>
      <x:c r="I508" s="23"/>
      <x:c r="J508" s="20"/>
      <x:c r="K508" s="26" t="n">
        <x:v>1</x:v>
      </x:c>
      <x:c r="L508" s="26" t="n">
        <x:v>1</x:v>
      </x:c>
      <x:c r="M508" s="14" t="str">
        <x:f>IF(AND(K508=1,L508=1),"both_correct",IF(K508=1,"vanilla_only",IF(L508=1,"candidate_only","both_wrong")))</x:f>
        <x:v>both_correct</x:v>
      </x:c>
      <x:c r="N508" s="26" t="n">
        <x:v>0</x:v>
      </x:c>
      <x:c r="O508" s="26" t="n">
        <x:v>0</x:v>
      </x:c>
    </x:row>
    <x:row r="509" ht="21" customHeight="1">
      <x:c r="A509" s="14" t="str">
        <x:v>ReAct 白盒单步规划</x:v>
      </x:c>
      <x:c r="B509" s="14" t="str">
        <x:v>TC00000043</x:v>
      </x:c>
      <x:c r="C509" s="17" t="n">
        <x:v>50.1081</x:v>
      </x:c>
      <x:c r="D509" s="17" t="n">
        <x:v>39.661</x:v>
      </x:c>
      <x:c r="E509" s="17" t="n">
        <x:f>C509-D509</x:f>
        <x:v>10.447099999999999</x:v>
      </x:c>
      <x:c r="F509" s="20" t="n">
        <x:f>IFERROR(E509/C509,0)</x:f>
        <x:v>0.20849124193493665</x:v>
      </x:c>
      <x:c r="G509" s="23" t="n">
        <x:v>869</x:v>
      </x:c>
      <x:c r="H509" s="23" t="n">
        <x:v>110</x:v>
      </x:c>
      <x:c r="I509" s="23"/>
      <x:c r="J509" s="20"/>
      <x:c r="K509" s="26" t="n">
        <x:v>1</x:v>
      </x:c>
      <x:c r="L509" s="26" t="n">
        <x:v>1</x:v>
      </x:c>
      <x:c r="M509" s="14" t="str">
        <x:f>IF(AND(K509=1,L509=1),"both_correct",IF(K509=1,"vanilla_only",IF(L509=1,"candidate_only","both_wrong")))</x:f>
        <x:v>both_correct</x:v>
      </x:c>
      <x:c r="N509" s="26" t="n">
        <x:v>0</x:v>
      </x:c>
      <x:c r="O509" s="26" t="n">
        <x:v>0</x:v>
      </x:c>
    </x:row>
    <x:row r="510" ht="21" customHeight="1">
      <x:c r="A510" s="14" t="str">
        <x:v>ReAct 白盒单步规划</x:v>
      </x:c>
      <x:c r="B510" s="14" t="str">
        <x:v>TC00000044</x:v>
      </x:c>
      <x:c r="C510" s="17" t="n">
        <x:v>48.4218</x:v>
      </x:c>
      <x:c r="D510" s="17" t="n">
        <x:v>41.8288</x:v>
      </x:c>
      <x:c r="E510" s="17" t="n">
        <x:f>C510-D510</x:f>
        <x:v>6.592999999999996</x:v>
      </x:c>
      <x:c r="F510" s="20" t="n">
        <x:f>IFERROR(E510/C510,0)</x:f>
        <x:v>0.13615768104448817</x:v>
      </x:c>
      <x:c r="G510" s="23" t="n">
        <x:v>837</x:v>
      </x:c>
      <x:c r="H510" s="23" t="n">
        <x:v>124</x:v>
      </x:c>
      <x:c r="I510" s="23"/>
      <x:c r="J510" s="20"/>
      <x:c r="K510" s="26" t="n">
        <x:v>1</x:v>
      </x:c>
      <x:c r="L510" s="26" t="n">
        <x:v>1</x:v>
      </x:c>
      <x:c r="M510" s="14" t="str">
        <x:f>IF(AND(K510=1,L510=1),"both_correct",IF(K510=1,"vanilla_only",IF(L510=1,"candidate_only","both_wrong")))</x:f>
        <x:v>both_correct</x:v>
      </x:c>
      <x:c r="N510" s="26" t="n">
        <x:v>0</x:v>
      </x:c>
      <x:c r="O510" s="26" t="n">
        <x:v>0</x:v>
      </x:c>
    </x:row>
    <x:row r="511" ht="21" customHeight="1">
      <x:c r="A511" s="14" t="str">
        <x:v>ReAct 白盒单步规划</x:v>
      </x:c>
      <x:c r="B511" s="14" t="str">
        <x:v>TC00000045</x:v>
      </x:c>
      <x:c r="C511" s="17" t="n">
        <x:v>40.6555</x:v>
      </x:c>
      <x:c r="D511" s="17" t="n">
        <x:v>58.9345</x:v>
      </x:c>
      <x:c r="E511" s="17" t="n">
        <x:f>C511-D511</x:f>
        <x:v>-18.278999999999996</x:v>
      </x:c>
      <x:c r="F511" s="20" t="n">
        <x:f>IFERROR(E511/C511,0)</x:f>
        <x:v>-0.44960706423485125</x:v>
      </x:c>
      <x:c r="G511" s="23" t="n">
        <x:v>682</x:v>
      </x:c>
      <x:c r="H511" s="23" t="n">
        <x:v>103</x:v>
      </x:c>
      <x:c r="I511" s="23"/>
      <x:c r="J511" s="20"/>
      <x:c r="K511" s="26" t="n">
        <x:v>1</x:v>
      </x:c>
      <x:c r="L511" s="26" t="n">
        <x:v>1</x:v>
      </x:c>
      <x:c r="M511" s="14" t="str">
        <x:f>IF(AND(K511=1,L511=1),"both_correct",IF(K511=1,"vanilla_only",IF(L511=1,"candidate_only","both_wrong")))</x:f>
        <x:v>both_correct</x:v>
      </x:c>
      <x:c r="N511" s="26" t="n">
        <x:v>0</x:v>
      </x:c>
      <x:c r="O511" s="26" t="n">
        <x:v>0</x:v>
      </x:c>
    </x:row>
    <x:row r="512" ht="21" customHeight="1">
      <x:c r="A512" s="14" t="str">
        <x:v>ReAct 白盒单步规划</x:v>
      </x:c>
      <x:c r="B512" s="14" t="str">
        <x:v>TC00000046</x:v>
      </x:c>
      <x:c r="C512" s="17" t="n">
        <x:v>54.9612</x:v>
      </x:c>
      <x:c r="D512" s="17" t="n">
        <x:v>41.3692</x:v>
      </x:c>
      <x:c r="E512" s="17" t="n">
        <x:f>C512-D512</x:f>
        <x:v>13.591999999999999</x:v>
      </x:c>
      <x:c r="F512" s="20" t="n">
        <x:f>IFERROR(E512/C512,0)</x:f>
        <x:v>0.24730173285881676</x:v>
      </x:c>
      <x:c r="G512" s="23" t="n">
        <x:v>967</x:v>
      </x:c>
      <x:c r="H512" s="23" t="n">
        <x:v>124</x:v>
      </x:c>
      <x:c r="I512" s="23"/>
      <x:c r="J512" s="20"/>
      <x:c r="K512" s="26" t="n">
        <x:v>1</x:v>
      </x:c>
      <x:c r="L512" s="26" t="n">
        <x:v>1</x:v>
      </x:c>
      <x:c r="M512" s="14" t="str">
        <x:f>IF(AND(K512=1,L512=1),"both_correct",IF(K512=1,"vanilla_only",IF(L512=1,"candidate_only","both_wrong")))</x:f>
        <x:v>both_correct</x:v>
      </x:c>
      <x:c r="N512" s="26" t="n">
        <x:v>0</x:v>
      </x:c>
      <x:c r="O512" s="26" t="n">
        <x:v>0</x:v>
      </x:c>
    </x:row>
    <x:row r="513" ht="21" customHeight="1">
      <x:c r="A513" s="14" t="str">
        <x:v>ReAct 白盒单步规划</x:v>
      </x:c>
      <x:c r="B513" s="14" t="str">
        <x:v>TC00000047</x:v>
      </x:c>
      <x:c r="C513" s="17" t="n">
        <x:v>55.6656</x:v>
      </x:c>
      <x:c r="D513" s="17" t="n">
        <x:v>44.3889</x:v>
      </x:c>
      <x:c r="E513" s="17" t="n">
        <x:f>C513-D513</x:f>
        <x:v>11.276699999999998</x:v>
      </x:c>
      <x:c r="F513" s="20" t="n">
        <x:f>IFERROR(E513/C513,0)</x:f>
        <x:v>0.20257933086142965</x:v>
      </x:c>
      <x:c r="G513" s="23" t="n">
        <x:v>962</x:v>
      </x:c>
      <x:c r="H513" s="23" t="n">
        <x:v>130</x:v>
      </x:c>
      <x:c r="I513" s="23"/>
      <x:c r="J513" s="20"/>
      <x:c r="K513" s="26" t="n">
        <x:v>1</x:v>
      </x:c>
      <x:c r="L513" s="26" t="n">
        <x:v>1</x:v>
      </x:c>
      <x:c r="M513" s="14" t="str">
        <x:f>IF(AND(K513=1,L513=1),"both_correct",IF(K513=1,"vanilla_only",IF(L513=1,"candidate_only","both_wrong")))</x:f>
        <x:v>both_correct</x:v>
      </x:c>
      <x:c r="N513" s="26" t="n">
        <x:v>0</x:v>
      </x:c>
      <x:c r="O513" s="26" t="n">
        <x:v>0</x:v>
      </x:c>
    </x:row>
    <x:row r="514" ht="21" customHeight="1">
      <x:c r="A514" s="14" t="str">
        <x:v>ReAct 白盒单步规划</x:v>
      </x:c>
      <x:c r="B514" s="14" t="str">
        <x:v>TC00000048</x:v>
      </x:c>
      <x:c r="C514" s="17" t="n">
        <x:v>60.5186</x:v>
      </x:c>
      <x:c r="D514" s="17" t="n">
        <x:v>46.0653</x:v>
      </x:c>
      <x:c r="E514" s="17" t="n">
        <x:f>C514-D514</x:f>
        <x:v>14.453299999999999</x:v>
      </x:c>
      <x:c r="F514" s="20" t="n">
        <x:f>IFERROR(E514/C514,0)</x:f>
        <x:v>0.23882409705445928</x:v>
      </x:c>
      <x:c r="G514" s="23" t="n">
        <x:v>1053</x:v>
      </x:c>
      <x:c r="H514" s="23" t="n">
        <x:v>146</x:v>
      </x:c>
      <x:c r="I514" s="23"/>
      <x:c r="J514" s="20"/>
      <x:c r="K514" s="26" t="n">
        <x:v>1</x:v>
      </x:c>
      <x:c r="L514" s="26" t="n">
        <x:v>1</x:v>
      </x:c>
      <x:c r="M514" s="14" t="str">
        <x:f>IF(AND(K514=1,L514=1),"both_correct",IF(K514=1,"vanilla_only",IF(L514=1,"candidate_only","both_wrong")))</x:f>
        <x:v>both_correct</x:v>
      </x:c>
      <x:c r="N514" s="26" t="n">
        <x:v>0</x:v>
      </x:c>
      <x:c r="O514" s="26" t="n">
        <x:v>0</x:v>
      </x:c>
    </x:row>
    <x:row r="515" ht="21" customHeight="1">
      <x:c r="A515" s="14" t="str">
        <x:v>ReAct 白盒单步规划</x:v>
      </x:c>
      <x:c r="B515" s="14" t="str">
        <x:v>TC00000049</x:v>
      </x:c>
      <x:c r="C515" s="17" t="n">
        <x:v>79.3089</x:v>
      </x:c>
      <x:c r="D515" s="17" t="n">
        <x:v>83.0847</x:v>
      </x:c>
      <x:c r="E515" s="17" t="n">
        <x:f>C515-D515</x:f>
        <x:v>-3.775800000000004</x:v>
      </x:c>
      <x:c r="F515" s="20" t="n">
        <x:f>IFERROR(E515/C515,0)</x:f>
        <x:v>-0.0476087803512595</x:v>
      </x:c>
      <x:c r="G515" s="23" t="n">
        <x:v>1331</x:v>
      </x:c>
      <x:c r="H515" s="23" t="n">
        <x:v>129</x:v>
      </x:c>
      <x:c r="I515" s="23"/>
      <x:c r="J515" s="20"/>
      <x:c r="K515" s="26" t="n">
        <x:v>1</x:v>
      </x:c>
      <x:c r="L515" s="26" t="n">
        <x:v>1</x:v>
      </x:c>
      <x:c r="M515" s="14" t="str">
        <x:f>IF(AND(K515=1,L515=1),"both_correct",IF(K515=1,"vanilla_only",IF(L515=1,"candidate_only","both_wrong")))</x:f>
        <x:v>both_correct</x:v>
      </x:c>
      <x:c r="N515" s="26" t="n">
        <x:v>0</x:v>
      </x:c>
      <x:c r="O515" s="26" t="n">
        <x:v>0</x:v>
      </x:c>
    </x:row>
    <x:row r="516" ht="21" customHeight="1">
      <x:c r="A516" s="14" t="str">
        <x:v>ReAct 白盒单步规划</x:v>
      </x:c>
      <x:c r="B516" s="14" t="str">
        <x:v>TC00000050</x:v>
      </x:c>
      <x:c r="C516" s="17" t="n">
        <x:v>42.169</x:v>
      </x:c>
      <x:c r="D516" s="17" t="n">
        <x:v>41.2248</x:v>
      </x:c>
      <x:c r="E516" s="17" t="n">
        <x:f>C516-D516</x:f>
        <x:v>0.944199999999995</x:v>
      </x:c>
      <x:c r="F516" s="20" t="n">
        <x:f>IFERROR(E516/C516,0)</x:f>
        <x:v>0.022390855841969103</x:v>
      </x:c>
      <x:c r="G516" s="23" t="n">
        <x:v>678</x:v>
      </x:c>
      <x:c r="H516" s="23" t="n">
        <x:v>94</x:v>
      </x:c>
      <x:c r="I516" s="23"/>
      <x:c r="J516" s="20"/>
      <x:c r="K516" s="26" t="n">
        <x:v>1</x:v>
      </x:c>
      <x:c r="L516" s="26" t="n">
        <x:v>1</x:v>
      </x:c>
      <x:c r="M516" s="14" t="str">
        <x:f>IF(AND(K516=1,L516=1),"both_correct",IF(K516=1,"vanilla_only",IF(L516=1,"candidate_only","both_wrong")))</x:f>
        <x:v>both_correct</x:v>
      </x:c>
      <x:c r="N516" s="26" t="n">
        <x:v>0</x:v>
      </x:c>
      <x:c r="O516" s="26" t="n">
        <x:v>0</x:v>
      </x:c>
    </x:row>
    <x:row r="517" ht="21" customHeight="1">
      <x:c r="A517" s="14" t="str">
        <x:v>ReAct 白盒单步规划</x:v>
      </x:c>
      <x:c r="B517" s="14" t="str">
        <x:v>TC00000051</x:v>
      </x:c>
      <x:c r="C517" s="17" t="n">
        <x:v>60.6947</x:v>
      </x:c>
      <x:c r="D517" s="17" t="n">
        <x:v>42.5001</x:v>
      </x:c>
      <x:c r="E517" s="17" t="n">
        <x:f>C517-D517</x:f>
        <x:v>18.194599999999994</x:v>
      </x:c>
      <x:c r="F517" s="20" t="n">
        <x:f>IFERROR(E517/C517,0)</x:f>
        <x:v>0.2997724677772523</x:v>
      </x:c>
      <x:c r="G517" s="23" t="n">
        <x:v>978</x:v>
      </x:c>
      <x:c r="H517" s="23" t="n">
        <x:v>111</x:v>
      </x:c>
      <x:c r="I517" s="23"/>
      <x:c r="J517" s="20"/>
      <x:c r="K517" s="26" t="n">
        <x:v>1</x:v>
      </x:c>
      <x:c r="L517" s="26" t="n">
        <x:v>1</x:v>
      </x:c>
      <x:c r="M517" s="14" t="str">
        <x:f>IF(AND(K517=1,L517=1),"both_correct",IF(K517=1,"vanilla_only",IF(L517=1,"candidate_only","both_wrong")))</x:f>
        <x:v>both_correct</x:v>
      </x:c>
      <x:c r="N517" s="26" t="n">
        <x:v>0</x:v>
      </x:c>
      <x:c r="O517" s="26" t="n">
        <x:v>0</x:v>
      </x:c>
    </x:row>
    <x:row r="518" ht="21" customHeight="1">
      <x:c r="A518" s="14" t="str">
        <x:v>ReAct 白盒单步规划</x:v>
      </x:c>
      <x:c r="B518" s="14" t="str">
        <x:v>TC00000052</x:v>
      </x:c>
      <x:c r="C518" s="17" t="n">
        <x:v>78.8288</x:v>
      </x:c>
      <x:c r="D518" s="17" t="n">
        <x:v>60.0046</x:v>
      </x:c>
      <x:c r="E518" s="17" t="n">
        <x:f>C518-D518</x:f>
        <x:v>18.824199999999998</x:v>
      </x:c>
      <x:c r="F518" s="20" t="n">
        <x:f>IFERROR(E518/C518,0)</x:f>
        <x:v>0.2387985101891694</x:v>
      </x:c>
      <x:c r="G518" s="23" t="n">
        <x:v>1378</x:v>
      </x:c>
      <x:c r="H518" s="23" t="n">
        <x:v>125</x:v>
      </x:c>
      <x:c r="I518" s="23"/>
      <x:c r="J518" s="20"/>
      <x:c r="K518" s="26" t="n">
        <x:v>0</x:v>
      </x:c>
      <x:c r="L518" s="26" t="n">
        <x:v>1</x:v>
      </x:c>
      <x:c r="M518" s="14" t="str">
        <x:f>IF(AND(K518=1,L518=1),"both_correct",IF(K518=1,"vanilla_only",IF(L518=1,"candidate_only","both_wrong")))</x:f>
        <x:v>candidate_only</x:v>
      </x:c>
      <x:c r="N518" s="26" t="n">
        <x:v>0</x:v>
      </x:c>
      <x:c r="O518" s="26" t="n">
        <x:v>0</x:v>
      </x:c>
    </x:row>
    <x:row r="519" ht="21" customHeight="1">
      <x:c r="A519" s="14" t="str">
        <x:v>ReAct 白盒单步规划</x:v>
      </x:c>
      <x:c r="B519" s="14" t="str">
        <x:v>TC00000053</x:v>
      </x:c>
      <x:c r="C519" s="17" t="n">
        <x:v>34.5434</x:v>
      </x:c>
      <x:c r="D519" s="17" t="n">
        <x:v>52.7</x:v>
      </x:c>
      <x:c r="E519" s="17" t="n">
        <x:f>C519-D519</x:f>
        <x:v>-18.156600000000005</x:v>
      </x:c>
      <x:c r="F519" s="20" t="n">
        <x:f>IFERROR(E519/C519,0)</x:f>
        <x:v>-0.5256170498561232</x:v>
      </x:c>
      <x:c r="G519" s="23" t="n">
        <x:v>564</x:v>
      </x:c>
      <x:c r="H519" s="23" t="n">
        <x:v>97</x:v>
      </x:c>
      <x:c r="I519" s="23"/>
      <x:c r="J519" s="20"/>
      <x:c r="K519" s="26" t="n">
        <x:v>1</x:v>
      </x:c>
      <x:c r="L519" s="26" t="n">
        <x:v>1</x:v>
      </x:c>
      <x:c r="M519" s="14" t="str">
        <x:f>IF(AND(K519=1,L519=1),"both_correct",IF(K519=1,"vanilla_only",IF(L519=1,"candidate_only","both_wrong")))</x:f>
        <x:v>both_correct</x:v>
      </x:c>
      <x:c r="N519" s="26" t="n">
        <x:v>0</x:v>
      </x:c>
      <x:c r="O519" s="26" t="n">
        <x:v>0</x:v>
      </x:c>
    </x:row>
    <x:row r="520" ht="21" customHeight="1">
      <x:c r="A520" s="14" t="str">
        <x:v>ReAct 白盒单步规划</x:v>
      </x:c>
      <x:c r="B520" s="14" t="str">
        <x:v>TC00000055</x:v>
      </x:c>
      <x:c r="C520" s="17" t="n">
        <x:v>88.4235</x:v>
      </x:c>
      <x:c r="D520" s="17" t="n">
        <x:v>44.646</x:v>
      </x:c>
      <x:c r="E520" s="17" t="n">
        <x:f>C520-D520</x:f>
        <x:v>43.7775</x:v>
      </x:c>
      <x:c r="F520" s="20" t="n">
        <x:f>IFERROR(E520/C520,0)</x:f>
        <x:v>0.4950889752158646</x:v>
      </x:c>
      <x:c r="G520" s="23" t="n">
        <x:v>1431</x:v>
      </x:c>
      <x:c r="H520" s="23" t="n">
        <x:v>133</x:v>
      </x:c>
      <x:c r="I520" s="23"/>
      <x:c r="J520" s="20"/>
      <x:c r="K520" s="26" t="n">
        <x:v>1</x:v>
      </x:c>
      <x:c r="L520" s="26" t="n">
        <x:v>1</x:v>
      </x:c>
      <x:c r="M520" s="14" t="str">
        <x:f>IF(AND(K520=1,L520=1),"both_correct",IF(K520=1,"vanilla_only",IF(L520=1,"candidate_only","both_wrong")))</x:f>
        <x:v>both_correct</x:v>
      </x:c>
      <x:c r="N520" s="26" t="n">
        <x:v>0</x:v>
      </x:c>
      <x:c r="O520" s="26" t="n">
        <x:v>0</x:v>
      </x:c>
    </x:row>
    <x:row r="521" ht="21" customHeight="1">
      <x:c r="A521" s="14" t="str">
        <x:v>ReAct 白盒单步规划</x:v>
      </x:c>
      <x:c r="B521" s="14" t="str">
        <x:v>TC00000056</x:v>
      </x:c>
      <x:c r="C521" s="17" t="n">
        <x:v>50.2884</x:v>
      </x:c>
      <x:c r="D521" s="17" t="n">
        <x:v>39.2611</x:v>
      </x:c>
      <x:c r="E521" s="17" t="n">
        <x:f>C521-D521</x:f>
        <x:v>11.027300000000004</x:v>
      </x:c>
      <x:c r="F521" s="20" t="n">
        <x:f>IFERROR(E521/C521,0)</x:f>
        <x:v>0.21928118611846872</x:v>
      </x:c>
      <x:c r="G521" s="23" t="n">
        <x:v>857</x:v>
      </x:c>
      <x:c r="H521" s="23" t="n">
        <x:v>104</x:v>
      </x:c>
      <x:c r="I521" s="23"/>
      <x:c r="J521" s="20"/>
      <x:c r="K521" s="26" t="n">
        <x:v>1</x:v>
      </x:c>
      <x:c r="L521" s="26" t="n">
        <x:v>1</x:v>
      </x:c>
      <x:c r="M521" s="14" t="str">
        <x:f>IF(AND(K521=1,L521=1),"both_correct",IF(K521=1,"vanilla_only",IF(L521=1,"candidate_only","both_wrong")))</x:f>
        <x:v>both_correct</x:v>
      </x:c>
      <x:c r="N521" s="26" t="n">
        <x:v>0</x:v>
      </x:c>
      <x:c r="O521" s="26" t="n">
        <x:v>0</x:v>
      </x:c>
    </x:row>
    <x:row r="522" ht="21" customHeight="1">
      <x:c r="A522" s="14" t="str">
        <x:v>ReAct 白盒单步规划</x:v>
      </x:c>
      <x:c r="B522" s="14" t="str">
        <x:v>TC00000057</x:v>
      </x:c>
      <x:c r="C522" s="17" t="n">
        <x:v>88.1936</x:v>
      </x:c>
      <x:c r="D522" s="17" t="n">
        <x:v>104.2016</x:v>
      </x:c>
      <x:c r="E522" s="17" t="n">
        <x:f>C522-D522</x:f>
        <x:v>-16.007999999999996</x:v>
      </x:c>
      <x:c r="F522" s="20" t="n">
        <x:f>IFERROR(E522/C522,0)</x:f>
        <x:v>-0.18150976941637484</x:v>
      </x:c>
      <x:c r="G522" s="23" t="n">
        <x:v>1383</x:v>
      </x:c>
      <x:c r="H522" s="23" t="n">
        <x:v>128</x:v>
      </x:c>
      <x:c r="I522" s="23"/>
      <x:c r="J522" s="20"/>
      <x:c r="K522" s="26" t="n">
        <x:v>1</x:v>
      </x:c>
      <x:c r="L522" s="26" t="n">
        <x:v>0</x:v>
      </x:c>
      <x:c r="M522" s="14" t="str">
        <x:f>IF(AND(K522=1,L522=1),"both_correct",IF(K522=1,"vanilla_only",IF(L522=1,"candidate_only","both_wrong")))</x:f>
        <x:v>vanilla_only</x:v>
      </x:c>
      <x:c r="N522" s="26" t="n">
        <x:v>0</x:v>
      </x:c>
      <x:c r="O522" s="26" t="n">
        <x:v>0</x:v>
      </x:c>
    </x:row>
    <x:row r="523" ht="21" customHeight="1">
      <x:c r="A523" s="14" t="str">
        <x:v>ReAct 白盒单步规划</x:v>
      </x:c>
      <x:c r="B523" s="14" t="str">
        <x:v>TC00000058</x:v>
      </x:c>
      <x:c r="C523" s="17" t="n">
        <x:v>47.3769</x:v>
      </x:c>
      <x:c r="D523" s="17" t="n">
        <x:v>44.3692</x:v>
      </x:c>
      <x:c r="E523" s="17" t="n">
        <x:f>C523-D523</x:f>
        <x:v>3.0077</x:v>
      </x:c>
      <x:c r="F523" s="20" t="n">
        <x:f>IFERROR(E523/C523,0)</x:f>
        <x:v>0.06348452515888545</x:v>
      </x:c>
      <x:c r="G523" s="23" t="n">
        <x:v>780</x:v>
      </x:c>
      <x:c r="H523" s="23" t="n">
        <x:v>114</x:v>
      </x:c>
      <x:c r="I523" s="23"/>
      <x:c r="J523" s="20"/>
      <x:c r="K523" s="26" t="n">
        <x:v>1</x:v>
      </x:c>
      <x:c r="L523" s="26" t="n">
        <x:v>1</x:v>
      </x:c>
      <x:c r="M523" s="14" t="str">
        <x:f>IF(AND(K523=1,L523=1),"both_correct",IF(K523=1,"vanilla_only",IF(L523=1,"candidate_only","both_wrong")))</x:f>
        <x:v>both_correct</x:v>
      </x:c>
      <x:c r="N523" s="26" t="n">
        <x:v>0</x:v>
      </x:c>
      <x:c r="O523" s="26" t="n">
        <x:v>0</x:v>
      </x:c>
    </x:row>
    <x:row r="524" ht="21" customHeight="1">
      <x:c r="A524" s="14" t="str">
        <x:v>ReAct 白盒单步规划</x:v>
      </x:c>
      <x:c r="B524" s="14" t="str">
        <x:v>TC00000059</x:v>
      </x:c>
      <x:c r="C524" s="17" t="n">
        <x:v>38.7925</x:v>
      </x:c>
      <x:c r="D524" s="17" t="n">
        <x:v>44.4795</x:v>
      </x:c>
      <x:c r="E524" s="17" t="n">
        <x:f>C524-D524</x:f>
        <x:v>-5.687000000000005</x:v>
      </x:c>
      <x:c r="F524" s="20" t="n">
        <x:f>IFERROR(E524/C524,0)</x:f>
        <x:v>-0.14660050267448618</x:v>
      </x:c>
      <x:c r="G524" s="23" t="n">
        <x:v>677</x:v>
      </x:c>
      <x:c r="H524" s="23" t="n">
        <x:v>116</x:v>
      </x:c>
      <x:c r="I524" s="23"/>
      <x:c r="J524" s="20"/>
      <x:c r="K524" s="26" t="n">
        <x:v>1</x:v>
      </x:c>
      <x:c r="L524" s="26" t="n">
        <x:v>1</x:v>
      </x:c>
      <x:c r="M524" s="14" t="str">
        <x:f>IF(AND(K524=1,L524=1),"both_correct",IF(K524=1,"vanilla_only",IF(L524=1,"candidate_only","both_wrong")))</x:f>
        <x:v>both_correct</x:v>
      </x:c>
      <x:c r="N524" s="26" t="n">
        <x:v>0</x:v>
      </x:c>
      <x:c r="O524" s="26" t="n">
        <x:v>0</x:v>
      </x:c>
    </x:row>
    <x:row r="525" ht="21" customHeight="1">
      <x:c r="A525" s="14" t="str">
        <x:v>ReAct 白盒单步规划</x:v>
      </x:c>
      <x:c r="B525" s="14" t="str">
        <x:v>TC00000060</x:v>
      </x:c>
      <x:c r="C525" s="17" t="n">
        <x:v>54.6725</x:v>
      </x:c>
      <x:c r="D525" s="17" t="n">
        <x:v>41.8137</x:v>
      </x:c>
      <x:c r="E525" s="17" t="n">
        <x:f>C525-D525</x:f>
        <x:v>12.858800000000002</x:v>
      </x:c>
      <x:c r="F525" s="20" t="n">
        <x:f>IFERROR(E525/C525,0)</x:f>
        <x:v>0.23519685399423845</x:v>
      </x:c>
      <x:c r="G525" s="23" t="n">
        <x:v>913</x:v>
      </x:c>
      <x:c r="H525" s="23" t="n">
        <x:v>115</x:v>
      </x:c>
      <x:c r="I525" s="23"/>
      <x:c r="J525" s="20"/>
      <x:c r="K525" s="26" t="n">
        <x:v>1</x:v>
      </x:c>
      <x:c r="L525" s="26" t="n">
        <x:v>1</x:v>
      </x:c>
      <x:c r="M525" s="14" t="str">
        <x:f>IF(AND(K525=1,L525=1),"both_correct",IF(K525=1,"vanilla_only",IF(L525=1,"candidate_only","both_wrong")))</x:f>
        <x:v>both_correct</x:v>
      </x:c>
      <x:c r="N525" s="26" t="n">
        <x:v>0</x:v>
      </x:c>
      <x:c r="O525" s="26" t="n">
        <x:v>0</x:v>
      </x:c>
    </x:row>
    <x:row r="526" ht="21" customHeight="1">
      <x:c r="A526" s="14" t="str">
        <x:v>ReAct 白盒单步规划</x:v>
      </x:c>
      <x:c r="B526" s="14" t="str">
        <x:v>TC00000062</x:v>
      </x:c>
      <x:c r="C526" s="17" t="n">
        <x:v>32.9629</x:v>
      </x:c>
      <x:c r="D526" s="17" t="n">
        <x:v>41.7159</x:v>
      </x:c>
      <x:c r="E526" s="17" t="n">
        <x:f>C526-D526</x:f>
        <x:v>-8.753</x:v>
      </x:c>
      <x:c r="F526" s="20" t="n">
        <x:f>IFERROR(E526/C526,0)</x:f>
        <x:v>-0.26554095665126554</x:v>
      </x:c>
      <x:c r="G526" s="23" t="n">
        <x:v>610</x:v>
      </x:c>
      <x:c r="H526" s="23" t="n">
        <x:v>102</x:v>
      </x:c>
      <x:c r="I526" s="23"/>
      <x:c r="J526" s="20"/>
      <x:c r="K526" s="26" t="n">
        <x:v>1</x:v>
      </x:c>
      <x:c r="L526" s="26" t="n">
        <x:v>1</x:v>
      </x:c>
      <x:c r="M526" s="14" t="str">
        <x:f>IF(AND(K526=1,L526=1),"both_correct",IF(K526=1,"vanilla_only",IF(L526=1,"candidate_only","both_wrong")))</x:f>
        <x:v>both_correct</x:v>
      </x:c>
      <x:c r="N526" s="26" t="n">
        <x:v>0</x:v>
      </x:c>
      <x:c r="O526" s="26" t="n">
        <x:v>0</x:v>
      </x:c>
    </x:row>
    <x:row r="527" ht="21" customHeight="1">
      <x:c r="A527" s="14" t="str">
        <x:v>ReAct 白盒单步规划</x:v>
      </x:c>
      <x:c r="B527" s="14" t="str">
        <x:v>TC00000063</x:v>
      </x:c>
      <x:c r="C527" s="17" t="n">
        <x:v>56.4913</x:v>
      </x:c>
      <x:c r="D527" s="17" t="n">
        <x:v>45.8443</x:v>
      </x:c>
      <x:c r="E527" s="17" t="n">
        <x:f>C527-D527</x:f>
        <x:v>10.647000000000006</x:v>
      </x:c>
      <x:c r="F527" s="20" t="n">
        <x:f>IFERROR(E527/C527,0)</x:f>
        <x:v>0.18847149915119682</x:v>
      </x:c>
      <x:c r="G527" s="23" t="n">
        <x:v>1029</x:v>
      </x:c>
      <x:c r="H527" s="23" t="n">
        <x:v>135</x:v>
      </x:c>
      <x:c r="I527" s="23"/>
      <x:c r="J527" s="20"/>
      <x:c r="K527" s="26" t="n">
        <x:v>1</x:v>
      </x:c>
      <x:c r="L527" s="26" t="n">
        <x:v>1</x:v>
      </x:c>
      <x:c r="M527" s="14" t="str">
        <x:f>IF(AND(K527=1,L527=1),"both_correct",IF(K527=1,"vanilla_only",IF(L527=1,"candidate_only","both_wrong")))</x:f>
        <x:v>both_correct</x:v>
      </x:c>
      <x:c r="N527" s="26" t="n">
        <x:v>0</x:v>
      </x:c>
      <x:c r="O527" s="26" t="n">
        <x:v>0</x:v>
      </x:c>
    </x:row>
    <x:row r="528" ht="21" customHeight="1">
      <x:c r="A528" s="14" t="str">
        <x:v>ReAct 白盒单步规划</x:v>
      </x:c>
      <x:c r="B528" s="14" t="str">
        <x:v>TC00000064</x:v>
      </x:c>
      <x:c r="C528" s="17" t="n">
        <x:v>49.894</x:v>
      </x:c>
      <x:c r="D528" s="17" t="n">
        <x:v>46.0183</x:v>
      </x:c>
      <x:c r="E528" s="17" t="n">
        <x:f>C528-D528</x:f>
        <x:v>3.875699999999995</x:v>
      </x:c>
      <x:c r="F528" s="20" t="n">
        <x:f>IFERROR(E528/C528,0)</x:f>
        <x:v>0.0776786787990539</x:v>
      </x:c>
      <x:c r="G528" s="23" t="n">
        <x:v>847</x:v>
      </x:c>
      <x:c r="H528" s="23" t="n">
        <x:v>120</x:v>
      </x:c>
      <x:c r="I528" s="23"/>
      <x:c r="J528" s="20"/>
      <x:c r="K528" s="26" t="n">
        <x:v>1</x:v>
      </x:c>
      <x:c r="L528" s="26" t="n">
        <x:v>1</x:v>
      </x:c>
      <x:c r="M528" s="14" t="str">
        <x:f>IF(AND(K528=1,L528=1),"both_correct",IF(K528=1,"vanilla_only",IF(L528=1,"candidate_only","both_wrong")))</x:f>
        <x:v>both_correct</x:v>
      </x:c>
      <x:c r="N528" s="26" t="n">
        <x:v>0</x:v>
      </x:c>
      <x:c r="O528" s="26" t="n">
        <x:v>0</x:v>
      </x:c>
    </x:row>
    <x:row r="529" ht="21" customHeight="1">
      <x:c r="A529" s="14" t="str">
        <x:v>ReAct 白盒单步规划</x:v>
      </x:c>
      <x:c r="B529" s="14" t="str">
        <x:v>TC00000065</x:v>
      </x:c>
      <x:c r="C529" s="17" t="n">
        <x:v>41.0856</x:v>
      </x:c>
      <x:c r="D529" s="17" t="n">
        <x:v>42.746</x:v>
      </x:c>
      <x:c r="E529" s="17" t="n">
        <x:f>C529-D529</x:f>
        <x:v>-1.6604000000000028</x:v>
      </x:c>
      <x:c r="F529" s="20" t="n">
        <x:f>IFERROR(E529/C529,0)</x:f>
        <x:v>-0.040413186128473305</x:v>
      </x:c>
      <x:c r="G529" s="23" t="n">
        <x:v>636</x:v>
      </x:c>
      <x:c r="H529" s="23" t="n">
        <x:v>105</x:v>
      </x:c>
      <x:c r="I529" s="23"/>
      <x:c r="J529" s="20"/>
      <x:c r="K529" s="26" t="n">
        <x:v>0</x:v>
      </x:c>
      <x:c r="L529" s="26" t="n">
        <x:v>0</x:v>
      </x:c>
      <x:c r="M529" s="14" t="str">
        <x:f>IF(AND(K529=1,L529=1),"both_correct",IF(K529=1,"vanilla_only",IF(L529=1,"candidate_only","both_wrong")))</x:f>
        <x:v>both_wrong</x:v>
      </x:c>
      <x:c r="N529" s="26" t="n">
        <x:v>0</x:v>
      </x:c>
      <x:c r="O529" s="26" t="n">
        <x:v>0</x:v>
      </x:c>
    </x:row>
    <x:row r="530" ht="21" customHeight="1">
      <x:c r="A530" s="14" t="str">
        <x:v>ReAct 白盒单步规划</x:v>
      </x:c>
      <x:c r="B530" s="14" t="str">
        <x:v>TC00000066</x:v>
      </x:c>
      <x:c r="C530" s="17" t="n">
        <x:v>53.0552</x:v>
      </x:c>
      <x:c r="D530" s="17" t="n">
        <x:v>39.0858</x:v>
      </x:c>
      <x:c r="E530" s="17" t="n">
        <x:f>C530-D530</x:f>
        <x:v>13.9694</x:v>
      </x:c>
      <x:c r="F530" s="20" t="n">
        <x:f>IFERROR(E530/C530,0)</x:f>
        <x:v>0.263299356142282</x:v>
      </x:c>
      <x:c r="G530" s="23" t="n">
        <x:v>907</x:v>
      </x:c>
      <x:c r="H530" s="23" t="n">
        <x:v>125</x:v>
      </x:c>
      <x:c r="I530" s="23"/>
      <x:c r="J530" s="20"/>
      <x:c r="K530" s="26" t="n">
        <x:v>1</x:v>
      </x:c>
      <x:c r="L530" s="26" t="n">
        <x:v>1</x:v>
      </x:c>
      <x:c r="M530" s="14" t="str">
        <x:f>IF(AND(K530=1,L530=1),"both_correct",IF(K530=1,"vanilla_only",IF(L530=1,"candidate_only","both_wrong")))</x:f>
        <x:v>both_correct</x:v>
      </x:c>
      <x:c r="N530" s="26" t="n">
        <x:v>0</x:v>
      </x:c>
      <x:c r="O530" s="26" t="n">
        <x:v>0</x:v>
      </x:c>
    </x:row>
    <x:row r="531" ht="21" customHeight="1">
      <x:c r="A531" s="14" t="str">
        <x:v>ReAct 白盒单步规划</x:v>
      </x:c>
      <x:c r="B531" s="14" t="str">
        <x:v>TC00000068</x:v>
      </x:c>
      <x:c r="C531" s="17" t="n">
        <x:v>45.5856</x:v>
      </x:c>
      <x:c r="D531" s="17" t="n">
        <x:v>40.8627</x:v>
      </x:c>
      <x:c r="E531" s="17" t="n">
        <x:f>C531-D531</x:f>
        <x:v>4.722900000000003</x:v>
      </x:c>
      <x:c r="F531" s="20" t="n">
        <x:f>IFERROR(E531/C531,0)</x:f>
        <x:v>0.10360508581657371</x:v>
      </x:c>
      <x:c r="G531" s="23" t="n">
        <x:v>819</x:v>
      </x:c>
      <x:c r="H531" s="23" t="n">
        <x:v>114</x:v>
      </x:c>
      <x:c r="I531" s="23"/>
      <x:c r="J531" s="20"/>
      <x:c r="K531" s="26" t="n">
        <x:v>0</x:v>
      </x:c>
      <x:c r="L531" s="26" t="n">
        <x:v>1</x:v>
      </x:c>
      <x:c r="M531" s="14" t="str">
        <x:f>IF(AND(K531=1,L531=1),"both_correct",IF(K531=1,"vanilla_only",IF(L531=1,"candidate_only","both_wrong")))</x:f>
        <x:v>candidate_only</x:v>
      </x:c>
      <x:c r="N531" s="26" t="n">
        <x:v>0</x:v>
      </x:c>
      <x:c r="O531" s="26" t="n">
        <x:v>0</x:v>
      </x:c>
    </x:row>
    <x:row r="532" ht="21" customHeight="1">
      <x:c r="A532" s="14" t="str">
        <x:v>ReAct 白盒单步规划</x:v>
      </x:c>
      <x:c r="B532" s="14" t="str">
        <x:v>TC00000069</x:v>
      </x:c>
      <x:c r="C532" s="17" t="n">
        <x:v>53.9518</x:v>
      </x:c>
      <x:c r="D532" s="17" t="n">
        <x:v>37.9486</x:v>
      </x:c>
      <x:c r="E532" s="17" t="n">
        <x:f>C532-D532</x:f>
        <x:v>16.0032</x:v>
      </x:c>
      <x:c r="F532" s="20" t="n">
        <x:f>IFERROR(E532/C532,0)</x:f>
        <x:v>0.29662031665301253</x:v>
      </x:c>
      <x:c r="G532" s="23" t="n">
        <x:v>913</x:v>
      </x:c>
      <x:c r="H532" s="23" t="n">
        <x:v>114</x:v>
      </x:c>
      <x:c r="I532" s="23"/>
      <x:c r="J532" s="20"/>
      <x:c r="K532" s="26" t="n">
        <x:v>1</x:v>
      </x:c>
      <x:c r="L532" s="26" t="n">
        <x:v>1</x:v>
      </x:c>
      <x:c r="M532" s="14" t="str">
        <x:f>IF(AND(K532=1,L532=1),"both_correct",IF(K532=1,"vanilla_only",IF(L532=1,"candidate_only","both_wrong")))</x:f>
        <x:v>both_correct</x:v>
      </x:c>
      <x:c r="N532" s="26" t="n">
        <x:v>0</x:v>
      </x:c>
      <x:c r="O532" s="26" t="n">
        <x:v>0</x:v>
      </x:c>
    </x:row>
    <x:row r="533" ht="21" customHeight="1">
      <x:c r="A533" s="14" t="str">
        <x:v>ReAct 白盒单步规划</x:v>
      </x:c>
      <x:c r="B533" s="14" t="str">
        <x:v>TC00000070</x:v>
      </x:c>
      <x:c r="C533" s="17" t="n">
        <x:v>31.1563</x:v>
      </x:c>
      <x:c r="D533" s="17" t="n">
        <x:v>41.6994</x:v>
      </x:c>
      <x:c r="E533" s="17" t="n">
        <x:f>C533-D533</x:f>
        <x:v>-10.543099999999995</x:v>
      </x:c>
      <x:c r="F533" s="20" t="n">
        <x:f>IFERROR(E533/C533,0)</x:f>
        <x:v>-0.3383938400901261</x:v>
      </x:c>
      <x:c r="G533" s="23" t="n">
        <x:v>529</x:v>
      </x:c>
      <x:c r="H533" s="23" t="n">
        <x:v>109</x:v>
      </x:c>
      <x:c r="I533" s="23"/>
      <x:c r="J533" s="20"/>
      <x:c r="K533" s="26" t="n">
        <x:v>1</x:v>
      </x:c>
      <x:c r="L533" s="26" t="n">
        <x:v>1</x:v>
      </x:c>
      <x:c r="M533" s="14" t="str">
        <x:f>IF(AND(K533=1,L533=1),"both_correct",IF(K533=1,"vanilla_only",IF(L533=1,"candidate_only","both_wrong")))</x:f>
        <x:v>both_correct</x:v>
      </x:c>
      <x:c r="N533" s="26" t="n">
        <x:v>0</x:v>
      </x:c>
      <x:c r="O533" s="26" t="n">
        <x:v>0</x:v>
      </x:c>
    </x:row>
    <x:row r="534" ht="21" customHeight="1">
      <x:c r="A534" s="14" t="str">
        <x:v>ReAct 白盒单步规划</x:v>
      </x:c>
      <x:c r="B534" s="14" t="str">
        <x:v>TC00000071</x:v>
      </x:c>
      <x:c r="C534" s="17" t="n">
        <x:v>36.5605</x:v>
      </x:c>
      <x:c r="D534" s="17" t="n">
        <x:v>37.438</x:v>
      </x:c>
      <x:c r="E534" s="17" t="n">
        <x:f>C534-D534</x:f>
        <x:v>-0.8775000000000048</x:v>
      </x:c>
      <x:c r="F534" s="20" t="n">
        <x:f>IFERROR(E534/C534,0)</x:f>
        <x:v>-0.024001312892329287</x:v>
      </x:c>
      <x:c r="G534" s="23" t="n">
        <x:v>615</x:v>
      </x:c>
      <x:c r="H534" s="23" t="n">
        <x:v>95</x:v>
      </x:c>
      <x:c r="I534" s="23"/>
      <x:c r="J534" s="20"/>
      <x:c r="K534" s="26" t="n">
        <x:v>1</x:v>
      </x:c>
      <x:c r="L534" s="26" t="n">
        <x:v>1</x:v>
      </x:c>
      <x:c r="M534" s="14" t="str">
        <x:f>IF(AND(K534=1,L534=1),"both_correct",IF(K534=1,"vanilla_only",IF(L534=1,"candidate_only","both_wrong")))</x:f>
        <x:v>both_correct</x:v>
      </x:c>
      <x:c r="N534" s="26" t="n">
        <x:v>0</x:v>
      </x:c>
      <x:c r="O534" s="26" t="n">
        <x:v>0</x:v>
      </x:c>
    </x:row>
    <x:row r="535" ht="21" customHeight="1">
      <x:c r="A535" s="14" t="str">
        <x:v>ReAct 白盒单步规划</x:v>
      </x:c>
      <x:c r="B535" s="14" t="str">
        <x:v>TC00000072</x:v>
      </x:c>
      <x:c r="C535" s="17" t="n">
        <x:v>46.9184</x:v>
      </x:c>
      <x:c r="D535" s="17" t="n">
        <x:v>45.9513</x:v>
      </x:c>
      <x:c r="E535" s="17" t="n">
        <x:f>C535-D535</x:f>
        <x:v>0.967099999999995</x:v>
      </x:c>
      <x:c r="F535" s="20" t="n">
        <x:f>IFERROR(E535/C535,0)</x:f>
        <x:v>0.0206123823489291</x:v>
      </x:c>
      <x:c r="G535" s="23" t="n">
        <x:v>758</x:v>
      </x:c>
      <x:c r="H535" s="23" t="n">
        <x:v>104</x:v>
      </x:c>
      <x:c r="I535" s="23"/>
      <x:c r="J535" s="20"/>
      <x:c r="K535" s="26" t="n">
        <x:v>1</x:v>
      </x:c>
      <x:c r="L535" s="26" t="n">
        <x:v>1</x:v>
      </x:c>
      <x:c r="M535" s="14" t="str">
        <x:f>IF(AND(K535=1,L535=1),"both_correct",IF(K535=1,"vanilla_only",IF(L535=1,"candidate_only","both_wrong")))</x:f>
        <x:v>both_correct</x:v>
      </x:c>
      <x:c r="N535" s="26" t="n">
        <x:v>0</x:v>
      </x:c>
      <x:c r="O535" s="26" t="n">
        <x:v>0</x:v>
      </x:c>
    </x:row>
    <x:row r="536" ht="21" customHeight="1">
      <x:c r="A536" s="14" t="str">
        <x:v>ReAct 白盒单步规划</x:v>
      </x:c>
      <x:c r="B536" s="14" t="str">
        <x:v>TC00000076</x:v>
      </x:c>
      <x:c r="C536" s="17" t="n">
        <x:v>44.4936</x:v>
      </x:c>
      <x:c r="D536" s="17" t="n">
        <x:v>42.4845</x:v>
      </x:c>
      <x:c r="E536" s="17" t="n">
        <x:f>C536-D536</x:f>
        <x:v>2.0091000000000037</x:v>
      </x:c>
      <x:c r="F536" s="20" t="n">
        <x:f>IFERROR(E536/C536,0)</x:f>
        <x:v>0.045154808781487754</x:v>
      </x:c>
      <x:c r="G536" s="23" t="n">
        <x:v>778</x:v>
      </x:c>
      <x:c r="H536" s="23" t="n">
        <x:v>109</x:v>
      </x:c>
      <x:c r="I536" s="23"/>
      <x:c r="J536" s="20"/>
      <x:c r="K536" s="26" t="n">
        <x:v>1</x:v>
      </x:c>
      <x:c r="L536" s="26" t="n">
        <x:v>1</x:v>
      </x:c>
      <x:c r="M536" s="14" t="str">
        <x:f>IF(AND(K536=1,L536=1),"both_correct",IF(K536=1,"vanilla_only",IF(L536=1,"candidate_only","both_wrong")))</x:f>
        <x:v>both_correct</x:v>
      </x:c>
      <x:c r="N536" s="26" t="n">
        <x:v>0</x:v>
      </x:c>
      <x:c r="O536" s="26" t="n">
        <x:v>0</x:v>
      </x:c>
    </x:row>
    <x:row r="537" ht="21" customHeight="1">
      <x:c r="A537" s="14" t="str">
        <x:v>ReAct 白盒单步规划</x:v>
      </x:c>
      <x:c r="B537" s="14" t="str">
        <x:v>TC00000085</x:v>
      </x:c>
      <x:c r="C537" s="17" t="n">
        <x:v>57.417</x:v>
      </x:c>
      <x:c r="D537" s="17" t="n">
        <x:v>46.4559</x:v>
      </x:c>
      <x:c r="E537" s="17" t="n">
        <x:f>C537-D537</x:f>
        <x:v>10.961100000000002</x:v>
      </x:c>
      <x:c r="F537" s="20" t="n">
        <x:f>IFERROR(E537/C537,0)</x:f>
        <x:v>0.190903390981765</x:v>
      </x:c>
      <x:c r="G537" s="23" t="n">
        <x:v>1076</x:v>
      </x:c>
      <x:c r="H537" s="23" t="n">
        <x:v>140</x:v>
      </x:c>
      <x:c r="I537" s="23"/>
      <x:c r="J537" s="20"/>
      <x:c r="K537" s="26" t="n">
        <x:v>1</x:v>
      </x:c>
      <x:c r="L537" s="26" t="n">
        <x:v>1</x:v>
      </x:c>
      <x:c r="M537" s="14" t="str">
        <x:f>IF(AND(K537=1,L537=1),"both_correct",IF(K537=1,"vanilla_only",IF(L537=1,"candidate_only","both_wrong")))</x:f>
        <x:v>both_correct</x:v>
      </x:c>
      <x:c r="N537" s="26" t="n">
        <x:v>0</x:v>
      </x:c>
      <x:c r="O537" s="26" t="n">
        <x:v>0</x:v>
      </x:c>
    </x:row>
    <x:row r="538" ht="21" customHeight="1">
      <x:c r="A538" s="14" t="str">
        <x:v>ReAct 白盒单步规划</x:v>
      </x:c>
      <x:c r="B538" s="14" t="str">
        <x:v>TC00000089</x:v>
      </x:c>
      <x:c r="C538" s="17" t="n">
        <x:v>65.5403</x:v>
      </x:c>
      <x:c r="D538" s="17" t="n">
        <x:v>73.2118</x:v>
      </x:c>
      <x:c r="E538" s="17" t="n">
        <x:f>C538-D538</x:f>
        <x:v>-7.671499999999995</x:v>
      </x:c>
      <x:c r="F538" s="20" t="n">
        <x:f>IFERROR(E538/C538,0)</x:f>
        <x:v>-0.11705012030765795</x:v>
      </x:c>
      <x:c r="G538" s="23" t="n">
        <x:v>1166</x:v>
      </x:c>
      <x:c r="H538" s="23" t="n">
        <x:v>124</x:v>
      </x:c>
      <x:c r="I538" s="23"/>
      <x:c r="J538" s="20"/>
      <x:c r="K538" s="26" t="n">
        <x:v>1</x:v>
      </x:c>
      <x:c r="L538" s="26" t="n">
        <x:v>1</x:v>
      </x:c>
      <x:c r="M538" s="14" t="str">
        <x:f>IF(AND(K538=1,L538=1),"both_correct",IF(K538=1,"vanilla_only",IF(L538=1,"candidate_only","both_wrong")))</x:f>
        <x:v>both_correct</x:v>
      </x:c>
      <x:c r="N538" s="26" t="n">
        <x:v>0</x:v>
      </x:c>
      <x:c r="O538" s="26" t="n">
        <x:v>0</x:v>
      </x:c>
    </x:row>
    <x:row r="539" ht="21" customHeight="1">
      <x:c r="A539" s="14" t="str">
        <x:v>ReAct 白盒单步规划</x:v>
      </x:c>
      <x:c r="B539" s="14" t="str">
        <x:v>TC00000091</x:v>
      </x:c>
      <x:c r="C539" s="17" t="n">
        <x:v>48.6258</x:v>
      </x:c>
      <x:c r="D539" s="17" t="n">
        <x:v>61.2743</x:v>
      </x:c>
      <x:c r="E539" s="17" t="n">
        <x:f>C539-D539</x:f>
        <x:v>-12.648499999999999</x:v>
      </x:c>
      <x:c r="F539" s="20" t="n">
        <x:f>IFERROR(E539/C539,0)</x:f>
        <x:v>-0.2601191137215223</x:v>
      </x:c>
      <x:c r="G539" s="23" t="n">
        <x:v>835</x:v>
      </x:c>
      <x:c r="H539" s="23" t="n">
        <x:v>133</x:v>
      </x:c>
      <x:c r="I539" s="23"/>
      <x:c r="J539" s="20"/>
      <x:c r="K539" s="26" t="n">
        <x:v>1</x:v>
      </x:c>
      <x:c r="L539" s="26" t="n">
        <x:v>1</x:v>
      </x:c>
      <x:c r="M539" s="14" t="str">
        <x:f>IF(AND(K539=1,L539=1),"both_correct",IF(K539=1,"vanilla_only",IF(L539=1,"candidate_only","both_wrong")))</x:f>
        <x:v>both_correct</x:v>
      </x:c>
      <x:c r="N539" s="26" t="n">
        <x:v>0</x:v>
      </x:c>
      <x:c r="O539" s="26" t="n">
        <x:v>0</x:v>
      </x:c>
    </x:row>
    <x:row r="540" ht="21" customHeight="1">
      <x:c r="A540" s="14" t="str">
        <x:v>ReAct 白盒单步规划</x:v>
      </x:c>
      <x:c r="B540" s="14" t="str">
        <x:v>TC00000093</x:v>
      </x:c>
      <x:c r="C540" s="17" t="n">
        <x:v>59.0447</x:v>
      </x:c>
      <x:c r="D540" s="17" t="n">
        <x:v>56.7921</x:v>
      </x:c>
      <x:c r="E540" s="17" t="n">
        <x:f>C540-D540</x:f>
        <x:v>2.252600000000001</x:v>
      </x:c>
      <x:c r="F540" s="20" t="n">
        <x:f>IFERROR(E540/C540,0)</x:f>
        <x:v>0.038150756968872754</x:v>
      </x:c>
      <x:c r="G540" s="23" t="n">
        <x:v>1009</x:v>
      </x:c>
      <x:c r="H540" s="23" t="n">
        <x:v>117</x:v>
      </x:c>
      <x:c r="I540" s="23"/>
      <x:c r="J540" s="20"/>
      <x:c r="K540" s="26" t="n">
        <x:v>1</x:v>
      </x:c>
      <x:c r="L540" s="26" t="n">
        <x:v>1</x:v>
      </x:c>
      <x:c r="M540" s="14" t="str">
        <x:f>IF(AND(K540=1,L540=1),"both_correct",IF(K540=1,"vanilla_only",IF(L540=1,"candidate_only","both_wrong")))</x:f>
        <x:v>both_correct</x:v>
      </x:c>
      <x:c r="N540" s="26" t="n">
        <x:v>0</x:v>
      </x:c>
      <x:c r="O540" s="26" t="n">
        <x:v>0</x:v>
      </x:c>
    </x:row>
    <x:row r="541" ht="21" customHeight="1">
      <x:c r="A541" s="14" t="str">
        <x:v>ReAct 白盒单步规划</x:v>
      </x:c>
      <x:c r="B541" s="14" t="str">
        <x:v>TC00000096</x:v>
      </x:c>
      <x:c r="C541" s="17" t="n">
        <x:v>50.8622</x:v>
      </x:c>
      <x:c r="D541" s="17" t="n">
        <x:v>41.5627</x:v>
      </x:c>
      <x:c r="E541" s="17" t="n">
        <x:f>C541-D541</x:f>
        <x:v>9.299500000000002</x:v>
      </x:c>
      <x:c r="F541" s="20" t="n">
        <x:f>IFERROR(E541/C541,0)</x:f>
        <x:v>0.18283715608054707</x:v>
      </x:c>
      <x:c r="G541" s="23" t="n">
        <x:v>881</x:v>
      </x:c>
      <x:c r="H541" s="23" t="n">
        <x:v>122</x:v>
      </x:c>
      <x:c r="I541" s="23"/>
      <x:c r="J541" s="20"/>
      <x:c r="K541" s="26" t="n">
        <x:v>1</x:v>
      </x:c>
      <x:c r="L541" s="26" t="n">
        <x:v>1</x:v>
      </x:c>
      <x:c r="M541" s="14" t="str">
        <x:f>IF(AND(K541=1,L541=1),"both_correct",IF(K541=1,"vanilla_only",IF(L541=1,"candidate_only","both_wrong")))</x:f>
        <x:v>both_correct</x:v>
      </x:c>
      <x:c r="N541" s="26" t="n">
        <x:v>0</x:v>
      </x:c>
      <x:c r="O541" s="26" t="n">
        <x:v>0</x:v>
      </x:c>
    </x:row>
    <x:row r="542" ht="21" customHeight="1">
      <x:c r="A542" s="14" t="str">
        <x:v>ReAct 白盒单步规划</x:v>
      </x:c>
      <x:c r="B542" s="14" t="str">
        <x:v>TC00000097</x:v>
      </x:c>
      <x:c r="C542" s="17" t="n">
        <x:v>44.4517</x:v>
      </x:c>
      <x:c r="D542" s="17" t="n">
        <x:v>54.6621</x:v>
      </x:c>
      <x:c r="E542" s="17" t="n">
        <x:f>C542-D542</x:f>
        <x:v>-10.2104</x:v>
      </x:c>
      <x:c r="F542" s="20" t="n">
        <x:f>IFERROR(E542/C542,0)</x:f>
        <x:v>-0.22969650204604097</x:v>
      </x:c>
      <x:c r="G542" s="23" t="n">
        <x:v>730</x:v>
      </x:c>
      <x:c r="H542" s="23" t="n">
        <x:v>100</x:v>
      </x:c>
      <x:c r="I542" s="23"/>
      <x:c r="J542" s="20"/>
      <x:c r="K542" s="26" t="n">
        <x:v>1</x:v>
      </x:c>
      <x:c r="L542" s="26" t="n">
        <x:v>1</x:v>
      </x:c>
      <x:c r="M542" s="14" t="str">
        <x:f>IF(AND(K542=1,L542=1),"both_correct",IF(K542=1,"vanilla_only",IF(L542=1,"candidate_only","both_wrong")))</x:f>
        <x:v>both_correct</x:v>
      </x:c>
      <x:c r="N542" s="26" t="n">
        <x:v>0</x:v>
      </x:c>
      <x:c r="O542" s="26" t="n">
        <x:v>0</x:v>
      </x:c>
    </x:row>
    <x:row r="543" ht="21" customHeight="1">
      <x:c r="A543" s="14" t="str">
        <x:v>ReAct 白盒单步规划</x:v>
      </x:c>
      <x:c r="B543" s="14" t="str">
        <x:v>TC00000098</x:v>
      </x:c>
      <x:c r="C543" s="17" t="n">
        <x:v>53.8983</x:v>
      </x:c>
      <x:c r="D543" s="17" t="n">
        <x:v>37.9836</x:v>
      </x:c>
      <x:c r="E543" s="17" t="n">
        <x:f>C543-D543</x:f>
        <x:v>15.914699999999996</x:v>
      </x:c>
      <x:c r="F543" s="20" t="n">
        <x:f>IFERROR(E543/C543,0)</x:f>
        <x:v>0.2952727637049776</x:v>
      </x:c>
      <x:c r="G543" s="23" t="n">
        <x:v>926</x:v>
      </x:c>
      <x:c r="H543" s="23" t="n">
        <x:v>98</x:v>
      </x:c>
      <x:c r="I543" s="23"/>
      <x:c r="J543" s="20"/>
      <x:c r="K543" s="26" t="n">
        <x:v>1</x:v>
      </x:c>
      <x:c r="L543" s="26" t="n">
        <x:v>1</x:v>
      </x:c>
      <x:c r="M543" s="14" t="str">
        <x:f>IF(AND(K543=1,L543=1),"both_correct",IF(K543=1,"vanilla_only",IF(L543=1,"candidate_only","both_wrong")))</x:f>
        <x:v>both_correct</x:v>
      </x:c>
      <x:c r="N543" s="26" t="n">
        <x:v>0</x:v>
      </x:c>
      <x:c r="O543" s="26" t="n">
        <x:v>0</x:v>
      </x:c>
    </x:row>
    <x:row r="544" ht="21" customHeight="1">
      <x:c r="A544" s="14" t="str">
        <x:v>ReAct 白盒单步规划</x:v>
      </x:c>
      <x:c r="B544" s="14" t="str">
        <x:v>TC00000100</x:v>
      </x:c>
      <x:c r="C544" s="17" t="n">
        <x:v>52.3093</x:v>
      </x:c>
      <x:c r="D544" s="17" t="n">
        <x:v>56.7891</x:v>
      </x:c>
      <x:c r="E544" s="17" t="n">
        <x:f>C544-D544</x:f>
        <x:v>-4.479799999999997</x:v>
      </x:c>
      <x:c r="F544" s="20" t="n">
        <x:f>IFERROR(E544/C544,0)</x:f>
        <x:v>-0.08564060310499275</x:v>
      </x:c>
      <x:c r="G544" s="23" t="n">
        <x:v>861</x:v>
      </x:c>
      <x:c r="H544" s="23" t="n">
        <x:v>103</x:v>
      </x:c>
      <x:c r="I544" s="23"/>
      <x:c r="J544" s="20"/>
      <x:c r="K544" s="26" t="n">
        <x:v>1</x:v>
      </x:c>
      <x:c r="L544" s="26" t="n">
        <x:v>1</x:v>
      </x:c>
      <x:c r="M544" s="14" t="str">
        <x:f>IF(AND(K544=1,L544=1),"both_correct",IF(K544=1,"vanilla_only",IF(L544=1,"candidate_only","both_wrong")))</x:f>
        <x:v>both_correct</x:v>
      </x:c>
      <x:c r="N544" s="26" t="n">
        <x:v>0</x:v>
      </x:c>
      <x:c r="O544" s="26" t="n">
        <x:v>0</x:v>
      </x:c>
    </x:row>
    <x:row r="545" ht="21" customHeight="1">
      <x:c r="A545" s="14" t="str">
        <x:v>ReAct 白盒单步规划</x:v>
      </x:c>
      <x:c r="B545" s="14" t="str">
        <x:v>TC00000103</x:v>
      </x:c>
      <x:c r="C545" s="17" t="n">
        <x:v>38.5185</x:v>
      </x:c>
      <x:c r="D545" s="17" t="n">
        <x:v>58.7238</x:v>
      </x:c>
      <x:c r="E545" s="17" t="n">
        <x:f>C545-D545</x:f>
        <x:v>-20.205299999999994</x:v>
      </x:c>
      <x:c r="F545" s="20" t="n">
        <x:f>IFERROR(E545/C545,0)</x:f>
        <x:v>-0.5245609252696755</x:v>
      </x:c>
      <x:c r="G545" s="23" t="n">
        <x:v>663</x:v>
      </x:c>
      <x:c r="H545" s="23" t="n">
        <x:v>119</x:v>
      </x:c>
      <x:c r="I545" s="23"/>
      <x:c r="J545" s="20"/>
      <x:c r="K545" s="26" t="n">
        <x:v>1</x:v>
      </x:c>
      <x:c r="L545" s="26" t="n">
        <x:v>1</x:v>
      </x:c>
      <x:c r="M545" s="14" t="str">
        <x:f>IF(AND(K545=1,L545=1),"both_correct",IF(K545=1,"vanilla_only",IF(L545=1,"candidate_only","both_wrong")))</x:f>
        <x:v>both_correct</x:v>
      </x:c>
      <x:c r="N545" s="26" t="n">
        <x:v>0</x:v>
      </x:c>
      <x:c r="O545" s="26" t="n">
        <x:v>0</x:v>
      </x:c>
    </x:row>
    <x:row r="546" ht="21" customHeight="1">
      <x:c r="A546" s="14" t="str">
        <x:v>ReAct 白盒单步规划</x:v>
      </x:c>
      <x:c r="B546" s="14" t="str">
        <x:v>TC00000106</x:v>
      </x:c>
      <x:c r="C546" s="17" t="n">
        <x:v>26.1139</x:v>
      </x:c>
      <x:c r="D546" s="17" t="n">
        <x:v>35.265</x:v>
      </x:c>
      <x:c r="E546" s="17" t="n">
        <x:f>C546-D546</x:f>
        <x:v>-9.1511</x:v>
      </x:c>
      <x:c r="F546" s="20" t="n">
        <x:f>IFERROR(E546/C546,0)</x:f>
        <x:v>-0.3504302306434504</x:v>
      </x:c>
      <x:c r="G546" s="23" t="n">
        <x:v>914</x:v>
      </x:c>
      <x:c r="H546" s="23" t="n">
        <x:v>139</x:v>
      </x:c>
      <x:c r="I546" s="23"/>
      <x:c r="J546" s="20"/>
      <x:c r="K546" s="26" t="n">
        <x:v>1</x:v>
      </x:c>
      <x:c r="L546" s="26" t="n">
        <x:v>1</x:v>
      </x:c>
      <x:c r="M546" s="14" t="str">
        <x:f>IF(AND(K546=1,L546=1),"both_correct",IF(K546=1,"vanilla_only",IF(L546=1,"candidate_only","both_wrong")))</x:f>
        <x:v>both_correct</x:v>
      </x:c>
      <x:c r="N546" s="26" t="n">
        <x:v>0</x:v>
      </x:c>
      <x:c r="O546" s="26" t="n">
        <x:v>0</x:v>
      </x:c>
    </x:row>
    <x:row r="547" ht="21" customHeight="1">
      <x:c r="A547" s="14" t="str">
        <x:v>ReAct 白盒单步规划</x:v>
      </x:c>
      <x:c r="B547" s="14" t="str">
        <x:v>TC00000107</x:v>
      </x:c>
      <x:c r="C547" s="17" t="n">
        <x:v>12.3397</x:v>
      </x:c>
      <x:c r="D547" s="17" t="n">
        <x:v>23.1027</x:v>
      </x:c>
      <x:c r="E547" s="17" t="n">
        <x:f>C547-D547</x:f>
        <x:v>-10.762999999999998</x:v>
      </x:c>
      <x:c r="F547" s="20" t="n">
        <x:f>IFERROR(E547/C547,0)</x:f>
        <x:v>-0.8722254187703102</x:v>
      </x:c>
      <x:c r="G547" s="23" t="n">
        <x:v>854</x:v>
      </x:c>
      <x:c r="H547" s="23" t="n">
        <x:v>106</x:v>
      </x:c>
      <x:c r="I547" s="23"/>
      <x:c r="J547" s="20"/>
      <x:c r="K547" s="26" t="n">
        <x:v>1</x:v>
      </x:c>
      <x:c r="L547" s="26" t="n">
        <x:v>1</x:v>
      </x:c>
      <x:c r="M547" s="14" t="str">
        <x:f>IF(AND(K547=1,L547=1),"both_correct",IF(K547=1,"vanilla_only",IF(L547=1,"candidate_only","both_wrong")))</x:f>
        <x:v>both_correct</x:v>
      </x:c>
      <x:c r="N547" s="26" t="n">
        <x:v>0</x:v>
      </x:c>
      <x:c r="O547" s="26" t="n">
        <x:v>0</x:v>
      </x:c>
    </x:row>
    <x:row r="548" ht="21" customHeight="1">
      <x:c r="A548" s="14" t="str">
        <x:v>长文本根因推理</x:v>
      </x:c>
      <x:c r="B548" s="14" t="str">
        <x:v>TC00000001</x:v>
      </x:c>
      <x:c r="C548" s="17" t="n">
        <x:v>96.8905</x:v>
      </x:c>
      <x:c r="D548" s="17" t="n">
        <x:v>102.0679</x:v>
      </x:c>
      <x:c r="E548" s="17" t="n">
        <x:f>C548-D548</x:f>
        <x:v>-5.177399999999992</x:v>
      </x:c>
      <x:c r="F548" s="20" t="n">
        <x:f>IFERROR(E548/C548,0)</x:f>
        <x:v>-0.053435579339563645</x:v>
      </x:c>
      <x:c r="G548" s="23" t="n">
        <x:v>1500</x:v>
      </x:c>
      <x:c r="H548" s="23" t="n">
        <x:v>237</x:v>
      </x:c>
      <x:c r="I548" s="23"/>
      <x:c r="J548" s="20"/>
      <x:c r="K548" s="26" t="n">
        <x:v>1</x:v>
      </x:c>
      <x:c r="L548" s="26" t="n">
        <x:v>1</x:v>
      </x:c>
      <x:c r="M548" s="14" t="str">
        <x:f>IF(AND(K548=1,L548=1),"both_correct",IF(K548=1,"vanilla_only",IF(L548=1,"candidate_only","both_wrong")))</x:f>
        <x:v>both_correct</x:v>
      </x:c>
      <x:c r="N548" s="26" t="n">
        <x:v>0</x:v>
      </x:c>
      <x:c r="O548" s="26" t="n">
        <x:v>0</x:v>
      </x:c>
    </x:row>
    <x:row r="549" ht="21" customHeight="1">
      <x:c r="A549" s="14" t="str">
        <x:v>长文本根因推理</x:v>
      </x:c>
      <x:c r="B549" s="14" t="str">
        <x:v>TC00000002</x:v>
      </x:c>
      <x:c r="C549" s="17" t="n">
        <x:v>95.0423</x:v>
      </x:c>
      <x:c r="D549" s="17" t="n">
        <x:v>112.6913</x:v>
      </x:c>
      <x:c r="E549" s="17" t="n">
        <x:f>C549-D549</x:f>
        <x:v>-17.649</x:v>
      </x:c>
      <x:c r="F549" s="20" t="n">
        <x:f>IFERROR(E549/C549,0)</x:f>
        <x:v>-0.18569626366365294</x:v>
      </x:c>
      <x:c r="G549" s="23" t="n">
        <x:v>1474</x:v>
      </x:c>
      <x:c r="H549" s="23" t="n">
        <x:v>261</x:v>
      </x:c>
      <x:c r="I549" s="23"/>
      <x:c r="J549" s="20"/>
      <x:c r="K549" s="26" t="n">
        <x:v>1</x:v>
      </x:c>
      <x:c r="L549" s="26" t="n">
        <x:v>0</x:v>
      </x:c>
      <x:c r="M549" s="14" t="str">
        <x:f>IF(AND(K549=1,L549=1),"both_correct",IF(K549=1,"vanilla_only",IF(L549=1,"candidate_only","both_wrong")))</x:f>
        <x:v>vanilla_only</x:v>
      </x:c>
      <x:c r="N549" s="26" t="n">
        <x:v>0</x:v>
      </x:c>
      <x:c r="O549" s="26" t="n">
        <x:v>0</x:v>
      </x:c>
    </x:row>
    <x:row r="550" ht="21" customHeight="1">
      <x:c r="A550" s="14" t="str">
        <x:v>长文本根因推理</x:v>
      </x:c>
      <x:c r="B550" s="14" t="str">
        <x:v>TC00000003</x:v>
      </x:c>
      <x:c r="C550" s="17" t="n">
        <x:v>81.0521</x:v>
      </x:c>
      <x:c r="D550" s="17" t="n">
        <x:v>95.5385</x:v>
      </x:c>
      <x:c r="E550" s="17" t="n">
        <x:f>C550-D550</x:f>
        <x:v>-14.486400000000003</x:v>
      </x:c>
      <x:c r="F550" s="20" t="n">
        <x:f>IFERROR(E550/C550,0)</x:f>
        <x:v>-0.1787294838751865</x:v>
      </x:c>
      <x:c r="G550" s="23" t="n">
        <x:v>1325</x:v>
      </x:c>
      <x:c r="H550" s="23" t="n">
        <x:v>220</x:v>
      </x:c>
      <x:c r="I550" s="23"/>
      <x:c r="J550" s="20"/>
      <x:c r="K550" s="26" t="n">
        <x:v>1</x:v>
      </x:c>
      <x:c r="L550" s="26" t="n">
        <x:v>1</x:v>
      </x:c>
      <x:c r="M550" s="14" t="str">
        <x:f>IF(AND(K550=1,L550=1),"both_correct",IF(K550=1,"vanilla_only",IF(L550=1,"candidate_only","both_wrong")))</x:f>
        <x:v>both_correct</x:v>
      </x:c>
      <x:c r="N550" s="26" t="n">
        <x:v>0</x:v>
      </x:c>
      <x:c r="O550" s="26" t="n">
        <x:v>0</x:v>
      </x:c>
    </x:row>
    <x:row r="551" ht="21" customHeight="1">
      <x:c r="A551" s="14" t="str">
        <x:v>长文本根因推理</x:v>
      </x:c>
      <x:c r="B551" s="14" t="str">
        <x:v>TC00000004</x:v>
      </x:c>
      <x:c r="C551" s="17" t="n">
        <x:v>89.1092</x:v>
      </x:c>
      <x:c r="D551" s="17" t="n">
        <x:v>80.8289</x:v>
      </x:c>
      <x:c r="E551" s="17" t="n">
        <x:f>C551-D551</x:f>
        <x:v>8.280299999999997</x:v>
      </x:c>
      <x:c r="F551" s="20" t="n">
        <x:f>IFERROR(E551/C551,0)</x:f>
        <x:v>0.09292306518294403</x:v>
      </x:c>
      <x:c r="G551" s="23" t="n">
        <x:v>1535</x:v>
      </x:c>
      <x:c r="H551" s="23" t="n">
        <x:v>259</x:v>
      </x:c>
      <x:c r="I551" s="23"/>
      <x:c r="J551" s="20"/>
      <x:c r="K551" s="26" t="n">
        <x:v>1</x:v>
      </x:c>
      <x:c r="L551" s="26" t="n">
        <x:v>1</x:v>
      </x:c>
      <x:c r="M551" s="14" t="str">
        <x:f>IF(AND(K551=1,L551=1),"both_correct",IF(K551=1,"vanilla_only",IF(L551=1,"candidate_only","both_wrong")))</x:f>
        <x:v>both_correct</x:v>
      </x:c>
      <x:c r="N551" s="26" t="n">
        <x:v>0</x:v>
      </x:c>
      <x:c r="O551" s="26" t="n">
        <x:v>0</x:v>
      </x:c>
    </x:row>
    <x:row r="552" ht="21" customHeight="1">
      <x:c r="A552" s="14" t="str">
        <x:v>长文本根因推理</x:v>
      </x:c>
      <x:c r="B552" s="14" t="str">
        <x:v>TC00000005</x:v>
      </x:c>
      <x:c r="C552" s="17" t="n">
        <x:v>91.6753</x:v>
      </x:c>
      <x:c r="D552" s="17" t="n">
        <x:v>95.1458</x:v>
      </x:c>
      <x:c r="E552" s="17" t="n">
        <x:f>C552-D552</x:f>
        <x:v>-3.4705000000000013</x:v>
      </x:c>
      <x:c r="F552" s="20" t="n">
        <x:f>IFERROR(E552/C552,0)</x:f>
        <x:v>-0.03785643461215836</x:v>
      </x:c>
      <x:c r="G552" s="23" t="n">
        <x:v>1366</x:v>
      </x:c>
      <x:c r="H552" s="23" t="n">
        <x:v>242</x:v>
      </x:c>
      <x:c r="I552" s="23"/>
      <x:c r="J552" s="20"/>
      <x:c r="K552" s="26" t="n">
        <x:v>1</x:v>
      </x:c>
      <x:c r="L552" s="26" t="n">
        <x:v>1</x:v>
      </x:c>
      <x:c r="M552" s="14" t="str">
        <x:f>IF(AND(K552=1,L552=1),"both_correct",IF(K552=1,"vanilla_only",IF(L552=1,"candidate_only","both_wrong")))</x:f>
        <x:v>both_correct</x:v>
      </x:c>
      <x:c r="N552" s="26" t="n">
        <x:v>0</x:v>
      </x:c>
      <x:c r="O552" s="26" t="n">
        <x:v>0</x:v>
      </x:c>
    </x:row>
    <x:row r="553" ht="21" customHeight="1">
      <x:c r="A553" s="14" t="str">
        <x:v>长文本根因推理</x:v>
      </x:c>
      <x:c r="B553" s="14" t="str">
        <x:v>TC00000006</x:v>
      </x:c>
      <x:c r="C553" s="17" t="n">
        <x:v>81.82</x:v>
      </x:c>
      <x:c r="D553" s="17" t="n">
        <x:v>90.7489</x:v>
      </x:c>
      <x:c r="E553" s="17" t="n">
        <x:f>C553-D553</x:f>
        <x:v>-8.928900000000013</x:v>
      </x:c>
      <x:c r="F553" s="20" t="n">
        <x:f>IFERROR(E553/C553,0)</x:f>
        <x:v>-0.10912857492055748</x:v>
      </x:c>
      <x:c r="G553" s="23" t="n">
        <x:v>1342</x:v>
      </x:c>
      <x:c r="H553" s="23" t="n">
        <x:v>286</x:v>
      </x:c>
      <x:c r="I553" s="23"/>
      <x:c r="J553" s="20"/>
      <x:c r="K553" s="26" t="n">
        <x:v>1</x:v>
      </x:c>
      <x:c r="L553" s="26" t="n">
        <x:v>1</x:v>
      </x:c>
      <x:c r="M553" s="14" t="str">
        <x:f>IF(AND(K553=1,L553=1),"both_correct",IF(K553=1,"vanilla_only",IF(L553=1,"candidate_only","both_wrong")))</x:f>
        <x:v>both_correct</x:v>
      </x:c>
      <x:c r="N553" s="26" t="n">
        <x:v>0</x:v>
      </x:c>
      <x:c r="O553" s="26" t="n">
        <x:v>0</x:v>
      </x:c>
    </x:row>
    <x:row r="554" ht="21" customHeight="1">
      <x:c r="A554" s="14" t="str">
        <x:v>长文本根因推理</x:v>
      </x:c>
      <x:c r="B554" s="14" t="str">
        <x:v>TC00000007</x:v>
      </x:c>
      <x:c r="C554" s="17" t="n">
        <x:v>90.0323</x:v>
      </x:c>
      <x:c r="D554" s="17" t="n">
        <x:v>87.1915</x:v>
      </x:c>
      <x:c r="E554" s="17" t="n">
        <x:f>C554-D554</x:f>
        <x:v>2.8408000000000015</x:v>
      </x:c>
      <x:c r="F554" s="20" t="n">
        <x:f>IFERROR(E554/C554,0)</x:f>
        <x:v>0.03155312038013026</x:v>
      </x:c>
      <x:c r="G554" s="23" t="n">
        <x:v>1432</x:v>
      </x:c>
      <x:c r="H554" s="23" t="n">
        <x:v>278</x:v>
      </x:c>
      <x:c r="I554" s="23"/>
      <x:c r="J554" s="20"/>
      <x:c r="K554" s="26" t="n">
        <x:v>1</x:v>
      </x:c>
      <x:c r="L554" s="26" t="n">
        <x:v>1</x:v>
      </x:c>
      <x:c r="M554" s="14" t="str">
        <x:f>IF(AND(K554=1,L554=1),"both_correct",IF(K554=1,"vanilla_only",IF(L554=1,"candidate_only","both_wrong")))</x:f>
        <x:v>both_correct</x:v>
      </x:c>
      <x:c r="N554" s="26" t="n">
        <x:v>0</x:v>
      </x:c>
      <x:c r="O554" s="26" t="n">
        <x:v>0</x:v>
      </x:c>
    </x:row>
    <x:row r="555" ht="21" customHeight="1">
      <x:c r="A555" s="14" t="str">
        <x:v>长文本根因推理</x:v>
      </x:c>
      <x:c r="B555" s="14" t="str">
        <x:v>TC00000008</x:v>
      </x:c>
      <x:c r="C555" s="17" t="n">
        <x:v>105.156</x:v>
      </x:c>
      <x:c r="D555" s="17" t="n">
        <x:v>106.8432</x:v>
      </x:c>
      <x:c r="E555" s="17" t="n">
        <x:f>C555-D555</x:f>
        <x:v>-1.68719999999999</x:v>
      </x:c>
      <x:c r="F555" s="20" t="n">
        <x:f>IFERROR(E555/C555,0)</x:f>
        <x:v>-0.016044733538742344</x:v>
      </x:c>
      <x:c r="G555" s="23" t="n">
        <x:v>1508</x:v>
      </x:c>
      <x:c r="H555" s="23" t="n">
        <x:v>342</x:v>
      </x:c>
      <x:c r="I555" s="23"/>
      <x:c r="J555" s="20"/>
      <x:c r="K555" s="26" t="n">
        <x:v>1</x:v>
      </x:c>
      <x:c r="L555" s="26" t="n">
        <x:v>1</x:v>
      </x:c>
      <x:c r="M555" s="14" t="str">
        <x:f>IF(AND(K555=1,L555=1),"both_correct",IF(K555=1,"vanilla_only",IF(L555=1,"candidate_only","both_wrong")))</x:f>
        <x:v>both_correct</x:v>
      </x:c>
      <x:c r="N555" s="26" t="n">
        <x:v>0</x:v>
      </x:c>
      <x:c r="O555" s="26" t="n">
        <x:v>0</x:v>
      </x:c>
    </x:row>
    <x:row r="556" ht="21" customHeight="1">
      <x:c r="A556" s="14" t="str">
        <x:v>长文本根因推理</x:v>
      </x:c>
      <x:c r="B556" s="14" t="str">
        <x:v>TC00000009</x:v>
      </x:c>
      <x:c r="C556" s="17" t="n">
        <x:v>109.4168</x:v>
      </x:c>
      <x:c r="D556" s="17" t="n">
        <x:v>118.7332</x:v>
      </x:c>
      <x:c r="E556" s="17" t="n">
        <x:f>C556-D556</x:f>
        <x:v>-9.316400000000002</x:v>
      </x:c>
      <x:c r="F556" s="20" t="n">
        <x:f>IFERROR(E556/C556,0)</x:f>
        <x:v>-0.08514597392722144</x:v>
      </x:c>
      <x:c r="G556" s="23" t="n">
        <x:v>1619</x:v>
      </x:c>
      <x:c r="H556" s="23" t="n">
        <x:v>336</x:v>
      </x:c>
      <x:c r="I556" s="23"/>
      <x:c r="J556" s="20"/>
      <x:c r="K556" s="26" t="n">
        <x:v>1</x:v>
      </x:c>
      <x:c r="L556" s="26" t="n">
        <x:v>1</x:v>
      </x:c>
      <x:c r="M556" s="14" t="str">
        <x:f>IF(AND(K556=1,L556=1),"both_correct",IF(K556=1,"vanilla_only",IF(L556=1,"candidate_only","both_wrong")))</x:f>
        <x:v>both_correct</x:v>
      </x:c>
      <x:c r="N556" s="26" t="n">
        <x:v>0</x:v>
      </x:c>
      <x:c r="O556" s="26" t="n">
        <x:v>0</x:v>
      </x:c>
    </x:row>
    <x:row r="557" ht="21" customHeight="1">
      <x:c r="A557" s="14" t="str">
        <x:v>长文本根因推理</x:v>
      </x:c>
      <x:c r="B557" s="14" t="str">
        <x:v>TC00000010</x:v>
      </x:c>
      <x:c r="C557" s="17" t="n">
        <x:v>102.0072</x:v>
      </x:c>
      <x:c r="D557" s="17" t="n">
        <x:v>102.8879</x:v>
      </x:c>
      <x:c r="E557" s="17" t="n">
        <x:f>C557-D557</x:f>
        <x:v>-0.8807000000000045</x:v>
      </x:c>
      <x:c r="F557" s="20" t="n">
        <x:f>IFERROR(E557/C557,0)</x:f>
        <x:v>-0.008633704287540532</x:v>
      </x:c>
      <x:c r="G557" s="23" t="n">
        <x:v>1453</x:v>
      </x:c>
      <x:c r="H557" s="23" t="n">
        <x:v>238</x:v>
      </x:c>
      <x:c r="I557" s="23"/>
      <x:c r="J557" s="20"/>
      <x:c r="K557" s="26" t="n">
        <x:v>1</x:v>
      </x:c>
      <x:c r="L557" s="26" t="n">
        <x:v>1</x:v>
      </x:c>
      <x:c r="M557" s="14" t="str">
        <x:f>IF(AND(K557=1,L557=1),"both_correct",IF(K557=1,"vanilla_only",IF(L557=1,"candidate_only","both_wrong")))</x:f>
        <x:v>both_correct</x:v>
      </x:c>
      <x:c r="N557" s="26" t="n">
        <x:v>0</x:v>
      </x:c>
      <x:c r="O557" s="26" t="n">
        <x:v>0</x:v>
      </x:c>
    </x:row>
    <x:row r="558" ht="21" customHeight="1">
      <x:c r="A558" s="14" t="str">
        <x:v>长文本根因推理</x:v>
      </x:c>
      <x:c r="B558" s="14" t="str">
        <x:v>TC00000011</x:v>
      </x:c>
      <x:c r="C558" s="17" t="n">
        <x:v>98.0403</x:v>
      </x:c>
      <x:c r="D558" s="17" t="n">
        <x:v>95.2903</x:v>
      </x:c>
      <x:c r="E558" s="17" t="n">
        <x:f>C558-D558</x:f>
        <x:v>2.75</x:v>
      </x:c>
      <x:c r="F558" s="20" t="n">
        <x:f>IFERROR(E558/C558,0)</x:f>
        <x:v>0.028049689770431138</x:v>
      </x:c>
      <x:c r="G558" s="23" t="n">
        <x:v>1478</x:v>
      </x:c>
      <x:c r="H558" s="23" t="n">
        <x:v>215</x:v>
      </x:c>
      <x:c r="I558" s="23"/>
      <x:c r="J558" s="20"/>
      <x:c r="K558" s="26" t="n">
        <x:v>1</x:v>
      </x:c>
      <x:c r="L558" s="26" t="n">
        <x:v>1</x:v>
      </x:c>
      <x:c r="M558" s="14" t="str">
        <x:f>IF(AND(K558=1,L558=1),"both_correct",IF(K558=1,"vanilla_only",IF(L558=1,"candidate_only","both_wrong")))</x:f>
        <x:v>both_correct</x:v>
      </x:c>
      <x:c r="N558" s="26" t="n">
        <x:v>0</x:v>
      </x:c>
      <x:c r="O558" s="26" t="n">
        <x:v>0</x:v>
      </x:c>
    </x:row>
    <x:row r="559" ht="21" customHeight="1">
      <x:c r="A559" s="14" t="str">
        <x:v>长文本根因推理</x:v>
      </x:c>
      <x:c r="B559" s="14" t="str">
        <x:v>TC00000012</x:v>
      </x:c>
      <x:c r="C559" s="17" t="n">
        <x:v>100.7212</x:v>
      </x:c>
      <x:c r="D559" s="17" t="n">
        <x:v>113.074</x:v>
      </x:c>
      <x:c r="E559" s="17" t="n">
        <x:f>C559-D559</x:f>
        <x:v>-12.352800000000002</x:v>
      </x:c>
      <x:c r="F559" s="20" t="n">
        <x:f>IFERROR(E559/C559,0)</x:f>
        <x:v>-0.12264349511324331</x:v>
      </x:c>
      <x:c r="G559" s="23" t="n">
        <x:v>1506</x:v>
      </x:c>
      <x:c r="H559" s="23" t="n">
        <x:v>283</x:v>
      </x:c>
      <x:c r="I559" s="23"/>
      <x:c r="J559" s="20"/>
      <x:c r="K559" s="26" t="n">
        <x:v>1</x:v>
      </x:c>
      <x:c r="L559" s="26" t="n">
        <x:v>1</x:v>
      </x:c>
      <x:c r="M559" s="14" t="str">
        <x:f>IF(AND(K559=1,L559=1),"both_correct",IF(K559=1,"vanilla_only",IF(L559=1,"candidate_only","both_wrong")))</x:f>
        <x:v>both_correct</x:v>
      </x:c>
      <x:c r="N559" s="26" t="n">
        <x:v>0</x:v>
      </x:c>
      <x:c r="O559" s="26" t="n">
        <x:v>0</x:v>
      </x:c>
    </x:row>
    <x:row r="560" ht="21" customHeight="1">
      <x:c r="A560" s="14" t="str">
        <x:v>长文本根因推理</x:v>
      </x:c>
      <x:c r="B560" s="14" t="str">
        <x:v>TC00000013</x:v>
      </x:c>
      <x:c r="C560" s="17" t="n">
        <x:v>98.8257</x:v>
      </x:c>
      <x:c r="D560" s="17" t="n">
        <x:v>110.7484</x:v>
      </x:c>
      <x:c r="E560" s="17" t="n">
        <x:f>C560-D560</x:f>
        <x:v>-11.922700000000006</x:v>
      </x:c>
      <x:c r="F560" s="20" t="n">
        <x:f>IFERROR(E560/C560,0)</x:f>
        <x:v>-0.12064371919450109</x:v>
      </x:c>
      <x:c r="G560" s="23" t="n">
        <x:v>1568</x:v>
      </x:c>
      <x:c r="H560" s="23" t="n">
        <x:v>286</x:v>
      </x:c>
      <x:c r="I560" s="23"/>
      <x:c r="J560" s="20"/>
      <x:c r="K560" s="26" t="n">
        <x:v>1</x:v>
      </x:c>
      <x:c r="L560" s="26" t="n">
        <x:v>1</x:v>
      </x:c>
      <x:c r="M560" s="14" t="str">
        <x:f>IF(AND(K560=1,L560=1),"both_correct",IF(K560=1,"vanilla_only",IF(L560=1,"candidate_only","both_wrong")))</x:f>
        <x:v>both_correct</x:v>
      </x:c>
      <x:c r="N560" s="26" t="n">
        <x:v>0</x:v>
      </x:c>
      <x:c r="O560" s="26" t="n">
        <x:v>0</x:v>
      </x:c>
    </x:row>
    <x:row r="561" ht="21" customHeight="1">
      <x:c r="A561" s="14" t="str">
        <x:v>长文本根因推理</x:v>
      </x:c>
      <x:c r="B561" s="14" t="str">
        <x:v>TC00000014</x:v>
      </x:c>
      <x:c r="C561" s="17" t="n">
        <x:v>94.4362</x:v>
      </x:c>
      <x:c r="D561" s="17" t="n">
        <x:v>114.6594</x:v>
      </x:c>
      <x:c r="E561" s="17" t="n">
        <x:f>C561-D561</x:f>
        <x:v>-20.223200000000006</x:v>
      </x:c>
      <x:c r="F561" s="20" t="n">
        <x:f>IFERROR(E561/C561,0)</x:f>
        <x:v>-0.21414669374667772</x:v>
      </x:c>
      <x:c r="G561" s="23" t="n">
        <x:v>1408</x:v>
      </x:c>
      <x:c r="H561" s="23" t="n">
        <x:v>284</x:v>
      </x:c>
      <x:c r="I561" s="23"/>
      <x:c r="J561" s="20"/>
      <x:c r="K561" s="26" t="n">
        <x:v>1</x:v>
      </x:c>
      <x:c r="L561" s="26" t="n">
        <x:v>1</x:v>
      </x:c>
      <x:c r="M561" s="14" t="str">
        <x:f>IF(AND(K561=1,L561=1),"both_correct",IF(K561=1,"vanilla_only",IF(L561=1,"candidate_only","both_wrong")))</x:f>
        <x:v>both_correct</x:v>
      </x:c>
      <x:c r="N561" s="26" t="n">
        <x:v>0</x:v>
      </x:c>
      <x:c r="O561" s="26" t="n">
        <x:v>0</x:v>
      </x:c>
    </x:row>
    <x:row r="562" ht="21" customHeight="1">
      <x:c r="A562" s="14" t="str">
        <x:v>长文本根因推理</x:v>
      </x:c>
      <x:c r="B562" s="14" t="str">
        <x:v>TC00000015</x:v>
      </x:c>
      <x:c r="C562" s="17" t="n">
        <x:v>97.8029</x:v>
      </x:c>
      <x:c r="D562" s="17" t="n">
        <x:v>114.1074</x:v>
      </x:c>
      <x:c r="E562" s="17" t="n">
        <x:f>C562-D562</x:f>
        <x:v>-16.304500000000004</x:v>
      </x:c>
      <x:c r="F562" s="20" t="n">
        <x:f>IFERROR(E562/C562,0)</x:f>
        <x:v>-0.1667077356601901</x:v>
      </x:c>
      <x:c r="G562" s="23" t="n">
        <x:v>1468</x:v>
      </x:c>
      <x:c r="H562" s="23" t="n">
        <x:v>310</x:v>
      </x:c>
      <x:c r="I562" s="23"/>
      <x:c r="J562" s="20"/>
      <x:c r="K562" s="26" t="n">
        <x:v>1</x:v>
      </x:c>
      <x:c r="L562" s="26" t="n">
        <x:v>1</x:v>
      </x:c>
      <x:c r="M562" s="14" t="str">
        <x:f>IF(AND(K562=1,L562=1),"both_correct",IF(K562=1,"vanilla_only",IF(L562=1,"candidate_only","both_wrong")))</x:f>
        <x:v>both_correct</x:v>
      </x:c>
      <x:c r="N562" s="26" t="n">
        <x:v>0</x:v>
      </x:c>
      <x:c r="O562" s="26" t="n">
        <x:v>0</x:v>
      </x:c>
    </x:row>
    <x:row r="563" ht="21" customHeight="1">
      <x:c r="A563" s="14" t="str">
        <x:v>长文本根因推理</x:v>
      </x:c>
      <x:c r="B563" s="14" t="str">
        <x:v>TC00000016</x:v>
      </x:c>
      <x:c r="C563" s="17" t="n">
        <x:v>103.1765</x:v>
      </x:c>
      <x:c r="D563" s="17" t="n">
        <x:v>109.7867</x:v>
      </x:c>
      <x:c r="E563" s="17" t="n">
        <x:f>C563-D563</x:f>
        <x:v>-6.610199999999992</x:v>
      </x:c>
      <x:c r="F563" s="20" t="n">
        <x:f>IFERROR(E563/C563,0)</x:f>
        <x:v>-0.06406691446211096</x:v>
      </x:c>
      <x:c r="G563" s="23" t="n">
        <x:v>1594</x:v>
      </x:c>
      <x:c r="H563" s="23" t="n">
        <x:v>312</x:v>
      </x:c>
      <x:c r="I563" s="23"/>
      <x:c r="J563" s="20"/>
      <x:c r="K563" s="26" t="n">
        <x:v>1</x:v>
      </x:c>
      <x:c r="L563" s="26" t="n">
        <x:v>1</x:v>
      </x:c>
      <x:c r="M563" s="14" t="str">
        <x:f>IF(AND(K563=1,L563=1),"both_correct",IF(K563=1,"vanilla_only",IF(L563=1,"candidate_only","both_wrong")))</x:f>
        <x:v>both_correct</x:v>
      </x:c>
      <x:c r="N563" s="26" t="n">
        <x:v>0</x:v>
      </x:c>
      <x:c r="O563" s="26" t="n">
        <x:v>0</x:v>
      </x:c>
    </x:row>
    <x:row r="564" ht="21" customHeight="1">
      <x:c r="A564" s="14" t="str">
        <x:v>长文本根因推理</x:v>
      </x:c>
      <x:c r="B564" s="14" t="str">
        <x:v>TC00000017</x:v>
      </x:c>
      <x:c r="C564" s="17" t="n">
        <x:v>102.0522</x:v>
      </x:c>
      <x:c r="D564" s="17" t="n">
        <x:v>99.9875</x:v>
      </x:c>
      <x:c r="E564" s="17" t="n">
        <x:f>C564-D564</x:f>
        <x:v>2.064700000000002</x:v>
      </x:c>
      <x:c r="F564" s="20" t="n">
        <x:f>IFERROR(E564/C564,0)</x:f>
        <x:v>0.020231802940064027</x:v>
      </x:c>
      <x:c r="G564" s="23" t="n">
        <x:v>1562</x:v>
      </x:c>
      <x:c r="H564" s="23" t="n">
        <x:v>313</x:v>
      </x:c>
      <x:c r="I564" s="23"/>
      <x:c r="J564" s="20"/>
      <x:c r="K564" s="26" t="n">
        <x:v>1</x:v>
      </x:c>
      <x:c r="L564" s="26" t="n">
        <x:v>1</x:v>
      </x:c>
      <x:c r="M564" s="14" t="str">
        <x:f>IF(AND(K564=1,L564=1),"both_correct",IF(K564=1,"vanilla_only",IF(L564=1,"candidate_only","both_wrong")))</x:f>
        <x:v>both_correct</x:v>
      </x:c>
      <x:c r="N564" s="26" t="n">
        <x:v>0</x:v>
      </x:c>
      <x:c r="O564" s="26" t="n">
        <x:v>0</x:v>
      </x:c>
    </x:row>
    <x:row r="565" ht="21" customHeight="1">
      <x:c r="A565" s="14" t="str">
        <x:v>长文本根因推理</x:v>
      </x:c>
      <x:c r="B565" s="14" t="str">
        <x:v>TC00000018</x:v>
      </x:c>
      <x:c r="C565" s="17" t="n">
        <x:v>116.1519</x:v>
      </x:c>
      <x:c r="D565" s="17" t="n">
        <x:v>98.5078</x:v>
      </x:c>
      <x:c r="E565" s="17" t="n">
        <x:f>C565-D565</x:f>
        <x:v>17.644099999999995</x:v>
      </x:c>
      <x:c r="F565" s="20" t="n">
        <x:f>IFERROR(E565/C565,0)</x:f>
        <x:v>0.1519053928519464</x:v>
      </x:c>
      <x:c r="G565" s="23" t="n">
        <x:v>1667</x:v>
      </x:c>
      <x:c r="H565" s="23" t="n">
        <x:v>229</x:v>
      </x:c>
      <x:c r="I565" s="23"/>
      <x:c r="J565" s="20"/>
      <x:c r="K565" s="26" t="n">
        <x:v>1</x:v>
      </x:c>
      <x:c r="L565" s="26" t="n">
        <x:v>1</x:v>
      </x:c>
      <x:c r="M565" s="14" t="str">
        <x:f>IF(AND(K565=1,L565=1),"both_correct",IF(K565=1,"vanilla_only",IF(L565=1,"candidate_only","both_wrong")))</x:f>
        <x:v>both_correct</x:v>
      </x:c>
      <x:c r="N565" s="26" t="n">
        <x:v>0</x:v>
      </x:c>
      <x:c r="O565" s="26" t="n">
        <x:v>0</x:v>
      </x:c>
    </x:row>
    <x:row r="566" ht="21" customHeight="1">
      <x:c r="A566" s="14" t="str">
        <x:v>长文本根因推理</x:v>
      </x:c>
      <x:c r="B566" s="14" t="str">
        <x:v>TC00000019</x:v>
      </x:c>
      <x:c r="C566" s="17" t="n">
        <x:v>104.3663</x:v>
      </x:c>
      <x:c r="D566" s="17" t="n">
        <x:v>114.9216</x:v>
      </x:c>
      <x:c r="E566" s="17" t="n">
        <x:f>C566-D566</x:f>
        <x:v>-10.555300000000003</x:v>
      </x:c>
      <x:c r="F566" s="20" t="n">
        <x:f>IFERROR(E566/C566,0)</x:f>
        <x:v>-0.10113705286093311</x:v>
      </x:c>
      <x:c r="G566" s="23" t="n">
        <x:v>1592</x:v>
      </x:c>
      <x:c r="H566" s="23" t="n">
        <x:v>296</x:v>
      </x:c>
      <x:c r="I566" s="23"/>
      <x:c r="J566" s="20"/>
      <x:c r="K566" s="26" t="n">
        <x:v>1</x:v>
      </x:c>
      <x:c r="L566" s="26" t="n">
        <x:v>1</x:v>
      </x:c>
      <x:c r="M566" s="14" t="str">
        <x:f>IF(AND(K566=1,L566=1),"both_correct",IF(K566=1,"vanilla_only",IF(L566=1,"candidate_only","both_wrong")))</x:f>
        <x:v>both_correct</x:v>
      </x:c>
      <x:c r="N566" s="26" t="n">
        <x:v>0</x:v>
      </x:c>
      <x:c r="O566" s="26" t="n">
        <x:v>0</x:v>
      </x:c>
    </x:row>
    <x:row r="567" ht="21" customHeight="1">
      <x:c r="A567" s="14" t="str">
        <x:v>长文本根因推理</x:v>
      </x:c>
      <x:c r="B567" s="14" t="str">
        <x:v>TC00000020</x:v>
      </x:c>
      <x:c r="C567" s="17" t="n">
        <x:v>92.3772</x:v>
      </x:c>
      <x:c r="D567" s="17" t="n">
        <x:v>108.905</x:v>
      </x:c>
      <x:c r="E567" s="17" t="n">
        <x:f>C567-D567</x:f>
        <x:v>-16.5278</x:v>
      </x:c>
      <x:c r="F567" s="20" t="n">
        <x:f>IFERROR(E567/C567,0)</x:f>
        <x:v>-0.17891644258539985</x:v>
      </x:c>
      <x:c r="G567" s="23" t="n">
        <x:v>1416</x:v>
      </x:c>
      <x:c r="H567" s="23" t="n">
        <x:v>217</x:v>
      </x:c>
      <x:c r="I567" s="23"/>
      <x:c r="J567" s="20"/>
      <x:c r="K567" s="26" t="n">
        <x:v>1</x:v>
      </x:c>
      <x:c r="L567" s="26" t="n">
        <x:v>1</x:v>
      </x:c>
      <x:c r="M567" s="14" t="str">
        <x:f>IF(AND(K567=1,L567=1),"both_correct",IF(K567=1,"vanilla_only",IF(L567=1,"candidate_only","both_wrong")))</x:f>
        <x:v>both_correct</x:v>
      </x:c>
      <x:c r="N567" s="26" t="n">
        <x:v>0</x:v>
      </x:c>
      <x:c r="O567" s="26" t="n">
        <x:v>0</x:v>
      </x:c>
    </x:row>
    <x:row r="568" ht="21" customHeight="1">
      <x:c r="A568" s="14" t="str">
        <x:v>长文本根因推理</x:v>
      </x:c>
      <x:c r="B568" s="14" t="str">
        <x:v>TC00000021</x:v>
      </x:c>
      <x:c r="C568" s="17" t="n">
        <x:v>98.793</x:v>
      </x:c>
      <x:c r="D568" s="17" t="n">
        <x:v>90.082</x:v>
      </x:c>
      <x:c r="E568" s="17" t="n">
        <x:f>C568-D568</x:f>
        <x:v>8.711000000000013</x:v>
      </x:c>
      <x:c r="F568" s="20" t="n">
        <x:f>IFERROR(E568/C568,0)</x:f>
        <x:v>0.08817426335874011</x:v>
      </x:c>
      <x:c r="G568" s="23" t="n">
        <x:v>1442</x:v>
      </x:c>
      <x:c r="H568" s="23" t="n">
        <x:v>284</x:v>
      </x:c>
      <x:c r="I568" s="23"/>
      <x:c r="J568" s="20"/>
      <x:c r="K568" s="26" t="n">
        <x:v>1</x:v>
      </x:c>
      <x:c r="L568" s="26" t="n">
        <x:v>1</x:v>
      </x:c>
      <x:c r="M568" s="14" t="str">
        <x:f>IF(AND(K568=1,L568=1),"both_correct",IF(K568=1,"vanilla_only",IF(L568=1,"candidate_only","both_wrong")))</x:f>
        <x:v>both_correct</x:v>
      </x:c>
      <x:c r="N568" s="26" t="n">
        <x:v>0</x:v>
      </x:c>
      <x:c r="O568" s="26" t="n">
        <x:v>0</x:v>
      </x:c>
    </x:row>
    <x:row r="569" ht="21" customHeight="1">
      <x:c r="A569" s="14" t="str">
        <x:v>长文本根因推理</x:v>
      </x:c>
      <x:c r="B569" s="14" t="str">
        <x:v>TC00000022</x:v>
      </x:c>
      <x:c r="C569" s="17" t="n">
        <x:v>92.7855</x:v>
      </x:c>
      <x:c r="D569" s="17" t="n">
        <x:v>93.9577</x:v>
      </x:c>
      <x:c r="E569" s="17" t="n">
        <x:f>C569-D569</x:f>
        <x:v>-1.1722000000000037</x:v>
      </x:c>
      <x:c r="F569" s="20" t="n">
        <x:f>IFERROR(E569/C569,0)</x:f>
        <x:v>-0.01263343949216207</x:v>
      </x:c>
      <x:c r="G569" s="23" t="n">
        <x:v>1388</x:v>
      </x:c>
      <x:c r="H569" s="23" t="n">
        <x:v>256</x:v>
      </x:c>
      <x:c r="I569" s="23"/>
      <x:c r="J569" s="20"/>
      <x:c r="K569" s="26" t="n">
        <x:v>1</x:v>
      </x:c>
      <x:c r="L569" s="26" t="n">
        <x:v>1</x:v>
      </x:c>
      <x:c r="M569" s="14" t="str">
        <x:f>IF(AND(K569=1,L569=1),"both_correct",IF(K569=1,"vanilla_only",IF(L569=1,"candidate_only","both_wrong")))</x:f>
        <x:v>both_correct</x:v>
      </x:c>
      <x:c r="N569" s="26" t="n">
        <x:v>0</x:v>
      </x:c>
      <x:c r="O569" s="26" t="n">
        <x:v>0</x:v>
      </x:c>
    </x:row>
    <x:row r="570" ht="21" customHeight="1">
      <x:c r="A570" s="14" t="str">
        <x:v>长文本根因推理</x:v>
      </x:c>
      <x:c r="B570" s="14" t="str">
        <x:v>TC00000023</x:v>
      </x:c>
      <x:c r="C570" s="17" t="n">
        <x:v>97.9994</x:v>
      </x:c>
      <x:c r="D570" s="17" t="n">
        <x:v>97.5995</x:v>
      </x:c>
      <x:c r="E570" s="17" t="n">
        <x:f>C570-D570</x:f>
        <x:v>0.39989999999998815</x:v>
      </x:c>
      <x:c r="F570" s="20" t="n">
        <x:f>IFERROR(E570/C570,0)</x:f>
        <x:v>0.004080637228391073</x:v>
      </x:c>
      <x:c r="G570" s="23" t="n">
        <x:v>1506</x:v>
      </x:c>
      <x:c r="H570" s="23" t="n">
        <x:v>316</x:v>
      </x:c>
      <x:c r="I570" s="23"/>
      <x:c r="J570" s="20"/>
      <x:c r="K570" s="26" t="n">
        <x:v>1</x:v>
      </x:c>
      <x:c r="L570" s="26" t="n">
        <x:v>1</x:v>
      </x:c>
      <x:c r="M570" s="14" t="str">
        <x:f>IF(AND(K570=1,L570=1),"both_correct",IF(K570=1,"vanilla_only",IF(L570=1,"candidate_only","both_wrong")))</x:f>
        <x:v>both_correct</x:v>
      </x:c>
      <x:c r="N570" s="26" t="n">
        <x:v>0</x:v>
      </x:c>
      <x:c r="O570" s="26" t="n">
        <x:v>0</x:v>
      </x:c>
    </x:row>
    <x:row r="571" ht="21" customHeight="1">
      <x:c r="A571" s="14" t="str">
        <x:v>长文本根因推理</x:v>
      </x:c>
      <x:c r="B571" s="14" t="str">
        <x:v>TC00000024</x:v>
      </x:c>
      <x:c r="C571" s="17" t="n">
        <x:v>97.024</x:v>
      </x:c>
      <x:c r="D571" s="17" t="n">
        <x:v>115.5501</x:v>
      </x:c>
      <x:c r="E571" s="17" t="n">
        <x:f>C571-D571</x:f>
        <x:v>-18.5261</x:v>
      </x:c>
      <x:c r="F571" s="20" t="n">
        <x:f>IFERROR(E571/C571,0)</x:f>
        <x:v>-0.19094347790237468</x:v>
      </x:c>
      <x:c r="G571" s="23" t="n">
        <x:v>1493</x:v>
      </x:c>
      <x:c r="H571" s="23" t="n">
        <x:v>384</x:v>
      </x:c>
      <x:c r="I571" s="23"/>
      <x:c r="J571" s="20"/>
      <x:c r="K571" s="26" t="n">
        <x:v>1</x:v>
      </x:c>
      <x:c r="L571" s="26" t="n">
        <x:v>1</x:v>
      </x:c>
      <x:c r="M571" s="14" t="str">
        <x:f>IF(AND(K571=1,L571=1),"both_correct",IF(K571=1,"vanilla_only",IF(L571=1,"candidate_only","both_wrong")))</x:f>
        <x:v>both_correct</x:v>
      </x:c>
      <x:c r="N571" s="26" t="n">
        <x:v>0</x:v>
      </x:c>
      <x:c r="O571" s="26" t="n">
        <x:v>0</x:v>
      </x:c>
    </x:row>
    <x:row r="572" ht="21" customHeight="1">
      <x:c r="A572" s="14" t="str">
        <x:v>长文本根因推理</x:v>
      </x:c>
      <x:c r="B572" s="14" t="str">
        <x:v>TC00000025</x:v>
      </x:c>
      <x:c r="C572" s="17" t="n">
        <x:v>95.3323</x:v>
      </x:c>
      <x:c r="D572" s="17" t="n">
        <x:v>94.3021</x:v>
      </x:c>
      <x:c r="E572" s="17" t="n">
        <x:f>C572-D572</x:f>
        <x:v>1.0302000000000078</x:v>
      </x:c>
      <x:c r="F572" s="20" t="n">
        <x:f>IFERROR(E572/C572,0)</x:f>
        <x:v>0.010806410838718963</x:v>
      </x:c>
      <x:c r="G572" s="23" t="n">
        <x:v>1509</x:v>
      </x:c>
      <x:c r="H572" s="23" t="n">
        <x:v>331</x:v>
      </x:c>
      <x:c r="I572" s="23"/>
      <x:c r="J572" s="20"/>
      <x:c r="K572" s="26" t="n">
        <x:v>1</x:v>
      </x:c>
      <x:c r="L572" s="26" t="n">
        <x:v>1</x:v>
      </x:c>
      <x:c r="M572" s="14" t="str">
        <x:f>IF(AND(K572=1,L572=1),"both_correct",IF(K572=1,"vanilla_only",IF(L572=1,"candidate_only","both_wrong")))</x:f>
        <x:v>both_correct</x:v>
      </x:c>
      <x:c r="N572" s="26" t="n">
        <x:v>0</x:v>
      </x:c>
      <x:c r="O572" s="26" t="n">
        <x:v>0</x:v>
      </x:c>
    </x:row>
    <x:row r="573" ht="21" customHeight="1">
      <x:c r="A573" s="14" t="str">
        <x:v>长文本根因推理</x:v>
      </x:c>
      <x:c r="B573" s="14" t="str">
        <x:v>TC00000026</x:v>
      </x:c>
      <x:c r="C573" s="17" t="n">
        <x:v>90.4435</x:v>
      </x:c>
      <x:c r="D573" s="17" t="n">
        <x:v>98.7682</x:v>
      </x:c>
      <x:c r="E573" s="17" t="n">
        <x:f>C573-D573</x:f>
        <x:v>-8.324699999999993</x:v>
      </x:c>
      <x:c r="F573" s="20" t="n">
        <x:f>IFERROR(E573/C573,0)</x:f>
        <x:v>-0.09204309873014636</x:v>
      </x:c>
      <x:c r="G573" s="23" t="n">
        <x:v>1449</x:v>
      </x:c>
      <x:c r="H573" s="23" t="n">
        <x:v>330</x:v>
      </x:c>
      <x:c r="I573" s="23"/>
      <x:c r="J573" s="20"/>
      <x:c r="K573" s="26" t="n">
        <x:v>1</x:v>
      </x:c>
      <x:c r="L573" s="26" t="n">
        <x:v>1</x:v>
      </x:c>
      <x:c r="M573" s="14" t="str">
        <x:f>IF(AND(K573=1,L573=1),"both_correct",IF(K573=1,"vanilla_only",IF(L573=1,"candidate_only","both_wrong")))</x:f>
        <x:v>both_correct</x:v>
      </x:c>
      <x:c r="N573" s="26" t="n">
        <x:v>0</x:v>
      </x:c>
      <x:c r="O573" s="26" t="n">
        <x:v>0</x:v>
      </x:c>
    </x:row>
    <x:row r="574" ht="21" customHeight="1">
      <x:c r="A574" s="14" t="str">
        <x:v>长文本根因推理</x:v>
      </x:c>
      <x:c r="B574" s="14" t="str">
        <x:v>TC00000027</x:v>
      </x:c>
      <x:c r="C574" s="17" t="n">
        <x:v>88.3231</x:v>
      </x:c>
      <x:c r="D574" s="17" t="n">
        <x:v>109.0887</x:v>
      </x:c>
      <x:c r="E574" s="17" t="n">
        <x:f>C574-D574</x:f>
        <x:v>-20.765600000000006</x:v>
      </x:c>
      <x:c r="F574" s="20" t="n">
        <x:f>IFERROR(E574/C574,0)</x:f>
        <x:v>-0.23510950136487518</x:v>
      </x:c>
      <x:c r="G574" s="23" t="n">
        <x:v>1424</x:v>
      </x:c>
      <x:c r="H574" s="23" t="n">
        <x:v>351</x:v>
      </x:c>
      <x:c r="I574" s="23"/>
      <x:c r="J574" s="20"/>
      <x:c r="K574" s="26" t="n">
        <x:v>1</x:v>
      </x:c>
      <x:c r="L574" s="26" t="n">
        <x:v>1</x:v>
      </x:c>
      <x:c r="M574" s="14" t="str">
        <x:f>IF(AND(K574=1,L574=1),"both_correct",IF(K574=1,"vanilla_only",IF(L574=1,"candidate_only","both_wrong")))</x:f>
        <x:v>both_correct</x:v>
      </x:c>
      <x:c r="N574" s="26" t="n">
        <x:v>0</x:v>
      </x:c>
      <x:c r="O574" s="26" t="n">
        <x:v>0</x:v>
      </x:c>
    </x:row>
    <x:row r="575" ht="21" customHeight="1">
      <x:c r="A575" s="14" t="str">
        <x:v>长文本根因推理</x:v>
      </x:c>
      <x:c r="B575" s="14" t="str">
        <x:v>TC00000028</x:v>
      </x:c>
      <x:c r="C575" s="17" t="n">
        <x:v>92.9868</x:v>
      </x:c>
      <x:c r="D575" s="17" t="n">
        <x:v>86.3016</x:v>
      </x:c>
      <x:c r="E575" s="17" t="n">
        <x:f>C575-D575</x:f>
        <x:v>6.685200000000009</x:v>
      </x:c>
      <x:c r="F575" s="20" t="n">
        <x:f>IFERROR(E575/C575,0)</x:f>
        <x:v>0.0718940752881055</x:v>
      </x:c>
      <x:c r="G575" s="23" t="n">
        <x:v>1480</x:v>
      </x:c>
      <x:c r="H575" s="23" t="n">
        <x:v>319</x:v>
      </x:c>
      <x:c r="I575" s="23"/>
      <x:c r="J575" s="20"/>
      <x:c r="K575" s="26" t="n">
        <x:v>1</x:v>
      </x:c>
      <x:c r="L575" s="26" t="n">
        <x:v>1</x:v>
      </x:c>
      <x:c r="M575" s="14" t="str">
        <x:f>IF(AND(K575=1,L575=1),"both_correct",IF(K575=1,"vanilla_only",IF(L575=1,"candidate_only","both_wrong")))</x:f>
        <x:v>both_correct</x:v>
      </x:c>
      <x:c r="N575" s="26" t="n">
        <x:v>0</x:v>
      </x:c>
      <x:c r="O575" s="26" t="n">
        <x:v>0</x:v>
      </x:c>
    </x:row>
    <x:row r="576" ht="21" customHeight="1">
      <x:c r="A576" s="14" t="str">
        <x:v>长文本根因推理</x:v>
      </x:c>
      <x:c r="B576" s="14" t="str">
        <x:v>TC00000029</x:v>
      </x:c>
      <x:c r="C576" s="17" t="n">
        <x:v>90.1058</x:v>
      </x:c>
      <x:c r="D576" s="17" t="n">
        <x:v>91.6283</x:v>
      </x:c>
      <x:c r="E576" s="17" t="n">
        <x:f>C576-D576</x:f>
        <x:v>-1.5224999999999937</x:v>
      </x:c>
      <x:c r="F576" s="20" t="n">
        <x:f>IFERROR(E576/C576,0)</x:f>
        <x:v>-0.016896803535399428</x:v>
      </x:c>
      <x:c r="G576" s="23" t="n">
        <x:v>1425</x:v>
      </x:c>
      <x:c r="H576" s="23" t="n">
        <x:v>303</x:v>
      </x:c>
      <x:c r="I576" s="23"/>
      <x:c r="J576" s="20"/>
      <x:c r="K576" s="26" t="n">
        <x:v>1</x:v>
      </x:c>
      <x:c r="L576" s="26" t="n">
        <x:v>1</x:v>
      </x:c>
      <x:c r="M576" s="14" t="str">
        <x:f>IF(AND(K576=1,L576=1),"both_correct",IF(K576=1,"vanilla_only",IF(L576=1,"candidate_only","both_wrong")))</x:f>
        <x:v>both_correct</x:v>
      </x:c>
      <x:c r="N576" s="26" t="n">
        <x:v>0</x:v>
      </x:c>
      <x:c r="O576" s="26" t="n">
        <x:v>0</x:v>
      </x:c>
    </x:row>
    <x:row r="577" ht="21" customHeight="1">
      <x:c r="A577" s="14" t="str">
        <x:v>长文本根因推理</x:v>
      </x:c>
      <x:c r="B577" s="14" t="str">
        <x:v>TC00000030</x:v>
      </x:c>
      <x:c r="C577" s="17" t="n">
        <x:v>87.4493</x:v>
      </x:c>
      <x:c r="D577" s="17" t="n">
        <x:v>87.2258</x:v>
      </x:c>
      <x:c r="E577" s="17" t="n">
        <x:f>C577-D577</x:f>
        <x:v>0.22349999999998715</x:v>
      </x:c>
      <x:c r="F577" s="20" t="n">
        <x:f>IFERROR(E577/C577,0)</x:f>
        <x:v>0.0025557665984746267</x:v>
      </x:c>
      <x:c r="G577" s="23" t="n">
        <x:v>1401</x:v>
      </x:c>
      <x:c r="H577" s="23" t="n">
        <x:v>266</x:v>
      </x:c>
      <x:c r="I577" s="23"/>
      <x:c r="J577" s="20"/>
      <x:c r="K577" s="26" t="n">
        <x:v>1</x:v>
      </x:c>
      <x:c r="L577" s="26" t="n">
        <x:v>1</x:v>
      </x:c>
      <x:c r="M577" s="14" t="str">
        <x:f>IF(AND(K577=1,L577=1),"both_correct",IF(K577=1,"vanilla_only",IF(L577=1,"candidate_only","both_wrong")))</x:f>
        <x:v>both_correct</x:v>
      </x:c>
      <x:c r="N577" s="26" t="n">
        <x:v>0</x:v>
      </x:c>
      <x:c r="O577" s="26" t="n">
        <x:v>0</x:v>
      </x:c>
    </x:row>
    <x:row r="578" ht="21" customHeight="1">
      <x:c r="A578" s="14" t="str">
        <x:v>长文本根因推理</x:v>
      </x:c>
      <x:c r="B578" s="14" t="str">
        <x:v>TC00000031</x:v>
      </x:c>
      <x:c r="C578" s="17" t="n">
        <x:v>100.0506</x:v>
      </x:c>
      <x:c r="D578" s="17" t="n">
        <x:v>91.122</x:v>
      </x:c>
      <x:c r="E578" s="17" t="n">
        <x:f>C578-D578</x:f>
        <x:v>8.928600000000003</x:v>
      </x:c>
      <x:c r="F578" s="20" t="n">
        <x:f>IFERROR(E578/C578,0)</x:f>
        <x:v>0.0892408441328688</x:v>
      </x:c>
      <x:c r="G578" s="23" t="n">
        <x:v>1581</x:v>
      </x:c>
      <x:c r="H578" s="23" t="n">
        <x:v>307</x:v>
      </x:c>
      <x:c r="I578" s="23"/>
      <x:c r="J578" s="20"/>
      <x:c r="K578" s="26" t="n">
        <x:v>1</x:v>
      </x:c>
      <x:c r="L578" s="26" t="n">
        <x:v>1</x:v>
      </x:c>
      <x:c r="M578" s="14" t="str">
        <x:f>IF(AND(K578=1,L578=1),"both_correct",IF(K578=1,"vanilla_only",IF(L578=1,"candidate_only","both_wrong")))</x:f>
        <x:v>both_correct</x:v>
      </x:c>
      <x:c r="N578" s="26" t="n">
        <x:v>0</x:v>
      </x:c>
      <x:c r="O578" s="26" t="n">
        <x:v>0</x:v>
      </x:c>
    </x:row>
    <x:row r="579" ht="21" customHeight="1">
      <x:c r="A579" s="14" t="str">
        <x:v>长文本根因推理</x:v>
      </x:c>
      <x:c r="B579" s="14" t="str">
        <x:v>TC00000032</x:v>
      </x:c>
      <x:c r="C579" s="17" t="n">
        <x:v>92.1611</x:v>
      </x:c>
      <x:c r="D579" s="17" t="n">
        <x:v>96.7721</x:v>
      </x:c>
      <x:c r="E579" s="17" t="n">
        <x:f>C579-D579</x:f>
        <x:v>-4.61099999999999</x:v>
      </x:c>
      <x:c r="F579" s="20" t="n">
        <x:f>IFERROR(E579/C579,0)</x:f>
        <x:v>-0.050031954913732475</x:v>
      </x:c>
      <x:c r="G579" s="23" t="n">
        <x:v>1552</x:v>
      </x:c>
      <x:c r="H579" s="23" t="n">
        <x:v>339</x:v>
      </x:c>
      <x:c r="I579" s="23"/>
      <x:c r="J579" s="20"/>
      <x:c r="K579" s="26" t="n">
        <x:v>1</x:v>
      </x:c>
      <x:c r="L579" s="26" t="n">
        <x:v>1</x:v>
      </x:c>
      <x:c r="M579" s="14" t="str">
        <x:f>IF(AND(K579=1,L579=1),"both_correct",IF(K579=1,"vanilla_only",IF(L579=1,"candidate_only","both_wrong")))</x:f>
        <x:v>both_correct</x:v>
      </x:c>
      <x:c r="N579" s="26" t="n">
        <x:v>0</x:v>
      </x:c>
      <x:c r="O579" s="26" t="n">
        <x:v>0</x:v>
      </x:c>
    </x:row>
    <x:row r="580" ht="21" customHeight="1">
      <x:c r="A580" s="14" t="str">
        <x:v>长文本根因推理</x:v>
      </x:c>
      <x:c r="B580" s="14" t="str">
        <x:v>TC00000033</x:v>
      </x:c>
      <x:c r="C580" s="17" t="n">
        <x:v>98.6864</x:v>
      </x:c>
      <x:c r="D580" s="17" t="n">
        <x:v>99.1639</x:v>
      </x:c>
      <x:c r="E580" s="17" t="n">
        <x:f>C580-D580</x:f>
        <x:v>-0.47749999999999204</x:v>
      </x:c>
      <x:c r="F580" s="20" t="n">
        <x:f>IFERROR(E580/C580,0)</x:f>
        <x:v>-0.004838559315163913</x:v>
      </x:c>
      <x:c r="G580" s="23" t="n">
        <x:v>1552</x:v>
      </x:c>
      <x:c r="H580" s="23" t="n">
        <x:v>286</x:v>
      </x:c>
      <x:c r="I580" s="23"/>
      <x:c r="J580" s="20"/>
      <x:c r="K580" s="26" t="n">
        <x:v>1</x:v>
      </x:c>
      <x:c r="L580" s="26" t="n">
        <x:v>1</x:v>
      </x:c>
      <x:c r="M580" s="14" t="str">
        <x:f>IF(AND(K580=1,L580=1),"both_correct",IF(K580=1,"vanilla_only",IF(L580=1,"candidate_only","both_wrong")))</x:f>
        <x:v>both_correct</x:v>
      </x:c>
      <x:c r="N580" s="26" t="n">
        <x:v>0</x:v>
      </x:c>
      <x:c r="O580" s="26" t="n">
        <x:v>0</x:v>
      </x:c>
    </x:row>
    <x:row r="581" ht="21" customHeight="1">
      <x:c r="A581" s="14" t="str">
        <x:v>长文本根因推理</x:v>
      </x:c>
      <x:c r="B581" s="14" t="str">
        <x:v>TC00000034</x:v>
      </x:c>
      <x:c r="C581" s="17" t="n">
        <x:v>104.9788</x:v>
      </x:c>
      <x:c r="D581" s="17" t="n">
        <x:v>104.7488</x:v>
      </x:c>
      <x:c r="E581" s="17" t="n">
        <x:f>C581-D581</x:f>
        <x:v>0.23000000000000398</x:v>
      </x:c>
      <x:c r="F581" s="20" t="n">
        <x:f>IFERROR(E581/C581,0)</x:f>
        <x:v>0.0021909185473638865</x:v>
      </x:c>
      <x:c r="G581" s="23" t="n">
        <x:v>1647</x:v>
      </x:c>
      <x:c r="H581" s="23" t="n">
        <x:v>327</x:v>
      </x:c>
      <x:c r="I581" s="23"/>
      <x:c r="J581" s="20"/>
      <x:c r="K581" s="26" t="n">
        <x:v>1</x:v>
      </x:c>
      <x:c r="L581" s="26" t="n">
        <x:v>1</x:v>
      </x:c>
      <x:c r="M581" s="14" t="str">
        <x:f>IF(AND(K581=1,L581=1),"both_correct",IF(K581=1,"vanilla_only",IF(L581=1,"candidate_only","both_wrong")))</x:f>
        <x:v>both_correct</x:v>
      </x:c>
      <x:c r="N581" s="26" t="n">
        <x:v>0</x:v>
      </x:c>
      <x:c r="O581" s="26" t="n">
        <x:v>0</x:v>
      </x:c>
    </x:row>
    <x:row r="582" ht="21" customHeight="1">
      <x:c r="A582" s="14" t="str">
        <x:v>长文本根因推理</x:v>
      </x:c>
      <x:c r="B582" s="14" t="str">
        <x:v>TC00000035</x:v>
      </x:c>
      <x:c r="C582" s="17" t="n">
        <x:v>98.5897</x:v>
      </x:c>
      <x:c r="D582" s="17" t="n">
        <x:v>96.2667</x:v>
      </x:c>
      <x:c r="E582" s="17" t="n">
        <x:f>C582-D582</x:f>
        <x:v>2.3229999999999933</x:v>
      </x:c>
      <x:c r="F582" s="20" t="n">
        <x:f>IFERROR(E582/C582,0)</x:f>
        <x:v>0.02356229910426742</x:v>
      </x:c>
      <x:c r="G582" s="23" t="n">
        <x:v>1587</x:v>
      </x:c>
      <x:c r="H582" s="23" t="n">
        <x:v>324</x:v>
      </x:c>
      <x:c r="I582" s="23"/>
      <x:c r="J582" s="20"/>
      <x:c r="K582" s="26" t="n">
        <x:v>1</x:v>
      </x:c>
      <x:c r="L582" s="26" t="n">
        <x:v>1</x:v>
      </x:c>
      <x:c r="M582" s="14" t="str">
        <x:f>IF(AND(K582=1,L582=1),"both_correct",IF(K582=1,"vanilla_only",IF(L582=1,"candidate_only","both_wrong")))</x:f>
        <x:v>both_correct</x:v>
      </x:c>
      <x:c r="N582" s="26" t="n">
        <x:v>0</x:v>
      </x:c>
      <x:c r="O582" s="26" t="n">
        <x:v>0</x:v>
      </x:c>
    </x:row>
    <x:row r="583" ht="21" customHeight="1">
      <x:c r="A583" s="14" t="str">
        <x:v>长文本根因推理</x:v>
      </x:c>
      <x:c r="B583" s="14" t="str">
        <x:v>TC00000036</x:v>
      </x:c>
      <x:c r="C583" s="17" t="n">
        <x:v>98.6339</x:v>
      </x:c>
      <x:c r="D583" s="17" t="n">
        <x:v>100.7383</x:v>
      </x:c>
      <x:c r="E583" s="17" t="n">
        <x:f>C583-D583</x:f>
        <x:v>-2.1043999999999983</x:v>
      </x:c>
      <x:c r="F583" s="20" t="n">
        <x:f>IFERROR(E583/C583,0)</x:f>
        <x:v>-0.021335463770569735</x:v>
      </x:c>
      <x:c r="G583" s="23" t="n">
        <x:v>1586</x:v>
      </x:c>
      <x:c r="H583" s="23" t="n">
        <x:v>346</x:v>
      </x:c>
      <x:c r="I583" s="23"/>
      <x:c r="J583" s="20"/>
      <x:c r="K583" s="26" t="n">
        <x:v>1</x:v>
      </x:c>
      <x:c r="L583" s="26" t="n">
        <x:v>1</x:v>
      </x:c>
      <x:c r="M583" s="14" t="str">
        <x:f>IF(AND(K583=1,L583=1),"both_correct",IF(K583=1,"vanilla_only",IF(L583=1,"candidate_only","both_wrong")))</x:f>
        <x:v>both_correct</x:v>
      </x:c>
      <x:c r="N583" s="26" t="n">
        <x:v>0</x:v>
      </x:c>
      <x:c r="O583" s="26" t="n">
        <x:v>0</x:v>
      </x:c>
    </x:row>
    <x:row r="584" ht="21" customHeight="1">
      <x:c r="A584" s="14" t="str">
        <x:v>长文本根因推理</x:v>
      </x:c>
      <x:c r="B584" s="14" t="str">
        <x:v>TC00000037</x:v>
      </x:c>
      <x:c r="C584" s="17" t="n">
        <x:v>96.0014</x:v>
      </x:c>
      <x:c r="D584" s="17" t="n">
        <x:v>86.6192</x:v>
      </x:c>
      <x:c r="E584" s="17" t="n">
        <x:f>C584-D584</x:f>
        <x:v>9.382199999999997</x:v>
      </x:c>
      <x:c r="F584" s="20" t="n">
        <x:f>IFERROR(E584/C584,0)</x:f>
        <x:v>0.0977298247733887</x:v>
      </x:c>
      <x:c r="G584" s="23" t="n">
        <x:v>1594</x:v>
      </x:c>
      <x:c r="H584" s="23" t="n">
        <x:v>272</x:v>
      </x:c>
      <x:c r="I584" s="23"/>
      <x:c r="J584" s="20"/>
      <x:c r="K584" s="26" t="n">
        <x:v>1</x:v>
      </x:c>
      <x:c r="L584" s="26" t="n">
        <x:v>1</x:v>
      </x:c>
      <x:c r="M584" s="14" t="str">
        <x:f>IF(AND(K584=1,L584=1),"both_correct",IF(K584=1,"vanilla_only",IF(L584=1,"candidate_only","both_wrong")))</x:f>
        <x:v>both_correct</x:v>
      </x:c>
      <x:c r="N584" s="26" t="n">
        <x:v>0</x:v>
      </x:c>
      <x:c r="O584" s="26" t="n">
        <x:v>0</x:v>
      </x:c>
    </x:row>
    <x:row r="585" ht="21" customHeight="1">
      <x:c r="A585" s="14" t="str">
        <x:v>长文本根因推理</x:v>
      </x:c>
      <x:c r="B585" s="14" t="str">
        <x:v>TC00000038</x:v>
      </x:c>
      <x:c r="C585" s="17" t="n">
        <x:v>88.2767</x:v>
      </x:c>
      <x:c r="D585" s="17" t="n">
        <x:v>94.2677</x:v>
      </x:c>
      <x:c r="E585" s="17" t="n">
        <x:f>C585-D585</x:f>
        <x:v>-5.991</x:v>
      </x:c>
      <x:c r="F585" s="20" t="n">
        <x:f>IFERROR(E585/C585,0)</x:f>
        <x:v>-0.06786615267675387</x:v>
      </x:c>
      <x:c r="G585" s="23" t="n">
        <x:v>1406</x:v>
      </x:c>
      <x:c r="H585" s="23" t="n">
        <x:v>307</x:v>
      </x:c>
      <x:c r="I585" s="23"/>
      <x:c r="J585" s="20"/>
      <x:c r="K585" s="26" t="n">
        <x:v>1</x:v>
      </x:c>
      <x:c r="L585" s="26" t="n">
        <x:v>1</x:v>
      </x:c>
      <x:c r="M585" s="14" t="str">
        <x:f>IF(AND(K585=1,L585=1),"both_correct",IF(K585=1,"vanilla_only",IF(L585=1,"candidate_only","both_wrong")))</x:f>
        <x:v>both_correct</x:v>
      </x:c>
      <x:c r="N585" s="26" t="n">
        <x:v>0</x:v>
      </x:c>
      <x:c r="O585" s="26" t="n">
        <x:v>0</x:v>
      </x:c>
    </x:row>
    <x:row r="586" ht="21" customHeight="1">
      <x:c r="A586" s="14" t="str">
        <x:v>长文本根因推理</x:v>
      </x:c>
      <x:c r="B586" s="14" t="str">
        <x:v>TC00000039</x:v>
      </x:c>
      <x:c r="C586" s="17" t="n">
        <x:v>95.0434</x:v>
      </x:c>
      <x:c r="D586" s="17" t="n">
        <x:v>91.9229</x:v>
      </x:c>
      <x:c r="E586" s="17" t="n">
        <x:f>C586-D586</x:f>
        <x:v>3.120500000000007</x:v>
      </x:c>
      <x:c r="F586" s="20" t="n">
        <x:f>IFERROR(E586/C586,0)</x:f>
        <x:v>0.03283236921238094</x:v>
      </x:c>
      <x:c r="G586" s="23" t="n">
        <x:v>1499</x:v>
      </x:c>
      <x:c r="H586" s="23" t="n">
        <x:v>333</x:v>
      </x:c>
      <x:c r="I586" s="23"/>
      <x:c r="J586" s="20"/>
      <x:c r="K586" s="26" t="n">
        <x:v>1</x:v>
      </x:c>
      <x:c r="L586" s="26" t="n">
        <x:v>1</x:v>
      </x:c>
      <x:c r="M586" s="14" t="str">
        <x:f>IF(AND(K586=1,L586=1),"both_correct",IF(K586=1,"vanilla_only",IF(L586=1,"candidate_only","both_wrong")))</x:f>
        <x:v>both_correct</x:v>
      </x:c>
      <x:c r="N586" s="26" t="n">
        <x:v>0</x:v>
      </x:c>
      <x:c r="O586" s="26" t="n">
        <x:v>0</x:v>
      </x:c>
    </x:row>
    <x:row r="587" ht="21" customHeight="1">
      <x:c r="A587" s="14" t="str">
        <x:v>长文本根因推理</x:v>
      </x:c>
      <x:c r="B587" s="14" t="str">
        <x:v>TC00000040</x:v>
      </x:c>
      <x:c r="C587" s="17" t="n">
        <x:v>88.8894</x:v>
      </x:c>
      <x:c r="D587" s="17" t="n">
        <x:v>92.3399</x:v>
      </x:c>
      <x:c r="E587" s="17" t="n">
        <x:f>C587-D587</x:f>
        <x:v>-3.4505000000000052</x:v>
      </x:c>
      <x:c r="F587" s="20" t="n">
        <x:f>IFERROR(E587/C587,0)</x:f>
        <x:v>-0.03881790179706473</x:v>
      </x:c>
      <x:c r="G587" s="23" t="n">
        <x:v>1426</x:v>
      </x:c>
      <x:c r="H587" s="23" t="n">
        <x:v>342</x:v>
      </x:c>
      <x:c r="I587" s="23"/>
      <x:c r="J587" s="20"/>
      <x:c r="K587" s="26" t="n">
        <x:v>1</x:v>
      </x:c>
      <x:c r="L587" s="26" t="n">
        <x:v>1</x:v>
      </x:c>
      <x:c r="M587" s="14" t="str">
        <x:f>IF(AND(K587=1,L587=1),"both_correct",IF(K587=1,"vanilla_only",IF(L587=1,"candidate_only","both_wrong")))</x:f>
        <x:v>both_correct</x:v>
      </x:c>
      <x:c r="N587" s="26" t="n">
        <x:v>0</x:v>
      </x:c>
      <x:c r="O587" s="26" t="n">
        <x:v>0</x:v>
      </x:c>
    </x:row>
    <x:row r="588" ht="21" customHeight="1">
      <x:c r="A588" s="14" t="str">
        <x:v>长文本根因推理</x:v>
      </x:c>
      <x:c r="B588" s="14" t="str">
        <x:v>TC00000041</x:v>
      </x:c>
      <x:c r="C588" s="17" t="n">
        <x:v>89.3761</x:v>
      </x:c>
      <x:c r="D588" s="17" t="n">
        <x:v>94.3134</x:v>
      </x:c>
      <x:c r="E588" s="17" t="n">
        <x:f>C588-D588</x:f>
        <x:v>-4.937300000000008</x:v>
      </x:c>
      <x:c r="F588" s="20" t="n">
        <x:f>IFERROR(E588/C588,0)</x:f>
        <x:v>-0.05524183758297809</x:v>
      </x:c>
      <x:c r="G588" s="23" t="n">
        <x:v>1495</x:v>
      </x:c>
      <x:c r="H588" s="23" t="n">
        <x:v>349</x:v>
      </x:c>
      <x:c r="I588" s="23"/>
      <x:c r="J588" s="20"/>
      <x:c r="K588" s="26" t="n">
        <x:v>1</x:v>
      </x:c>
      <x:c r="L588" s="26" t="n">
        <x:v>1</x:v>
      </x:c>
      <x:c r="M588" s="14" t="str">
        <x:f>IF(AND(K588=1,L588=1),"both_correct",IF(K588=1,"vanilla_only",IF(L588=1,"candidate_only","both_wrong")))</x:f>
        <x:v>both_correct</x:v>
      </x:c>
      <x:c r="N588" s="26" t="n">
        <x:v>0</x:v>
      </x:c>
      <x:c r="O588" s="26" t="n">
        <x:v>0</x:v>
      </x:c>
    </x:row>
    <x:row r="589" ht="21" customHeight="1">
      <x:c r="A589" s="14" t="str">
        <x:v>长文本根因推理</x:v>
      </x:c>
      <x:c r="B589" s="14" t="str">
        <x:v>TC00000042</x:v>
      </x:c>
      <x:c r="C589" s="17" t="n">
        <x:v>95.8177</x:v>
      </x:c>
      <x:c r="D589" s="17" t="n">
        <x:v>107.7821</x:v>
      </x:c>
      <x:c r="E589" s="17" t="n">
        <x:f>C589-D589</x:f>
        <x:v>-11.964399999999998</x:v>
      </x:c>
      <x:c r="F589" s="20" t="n">
        <x:f>IFERROR(E589/C589,0)</x:f>
        <x:v>-0.12486628253443777</x:v>
      </x:c>
      <x:c r="G589" s="23" t="n">
        <x:v>1591</x:v>
      </x:c>
      <x:c r="H589" s="23" t="n">
        <x:v>358</x:v>
      </x:c>
      <x:c r="I589" s="23"/>
      <x:c r="J589" s="20"/>
      <x:c r="K589" s="26" t="n">
        <x:v>1</x:v>
      </x:c>
      <x:c r="L589" s="26" t="n">
        <x:v>1</x:v>
      </x:c>
      <x:c r="M589" s="14" t="str">
        <x:f>IF(AND(K589=1,L589=1),"both_correct",IF(K589=1,"vanilla_only",IF(L589=1,"candidate_only","both_wrong")))</x:f>
        <x:v>both_correct</x:v>
      </x:c>
      <x:c r="N589" s="26" t="n">
        <x:v>0</x:v>
      </x:c>
      <x:c r="O589" s="26" t="n">
        <x:v>0</x:v>
      </x:c>
    </x:row>
    <x:row r="590" ht="21" customHeight="1">
      <x:c r="A590" s="14" t="str">
        <x:v>长文本根因推理</x:v>
      </x:c>
      <x:c r="B590" s="14" t="str">
        <x:v>TC00000043</x:v>
      </x:c>
      <x:c r="C590" s="17" t="n">
        <x:v>96.1909</x:v>
      </x:c>
      <x:c r="D590" s="17" t="n">
        <x:v>96.4337</x:v>
      </x:c>
      <x:c r="E590" s="17" t="n">
        <x:f>C590-D590</x:f>
        <x:v>-0.24280000000000257</x:v>
      </x:c>
      <x:c r="F590" s="20" t="n">
        <x:f>IFERROR(E590/C590,0)</x:f>
        <x:v>-0.0025241472945985804</x:v>
      </x:c>
      <x:c r="G590" s="23" t="n">
        <x:v>1521</x:v>
      </x:c>
      <x:c r="H590" s="23" t="n">
        <x:v>305</x:v>
      </x:c>
      <x:c r="I590" s="23"/>
      <x:c r="J590" s="20"/>
      <x:c r="K590" s="26" t="n">
        <x:v>1</x:v>
      </x:c>
      <x:c r="L590" s="26" t="n">
        <x:v>1</x:v>
      </x:c>
      <x:c r="M590" s="14" t="str">
        <x:f>IF(AND(K590=1,L590=1),"both_correct",IF(K590=1,"vanilla_only",IF(L590=1,"candidate_only","both_wrong")))</x:f>
        <x:v>both_correct</x:v>
      </x:c>
      <x:c r="N590" s="26" t="n">
        <x:v>0</x:v>
      </x:c>
      <x:c r="O590" s="26" t="n">
        <x:v>0</x:v>
      </x:c>
    </x:row>
    <x:row r="591" ht="21" customHeight="1">
      <x:c r="A591" s="14" t="str">
        <x:v>长文本根因推理</x:v>
      </x:c>
      <x:c r="B591" s="14" t="str">
        <x:v>TC00000044</x:v>
      </x:c>
      <x:c r="C591" s="17" t="n">
        <x:v>96.246</x:v>
      </x:c>
      <x:c r="D591" s="17" t="n">
        <x:v>105.8456</x:v>
      </x:c>
      <x:c r="E591" s="17" t="n">
        <x:f>C591-D591</x:f>
        <x:v>-9.59960000000001</x:v>
      </x:c>
      <x:c r="F591" s="20" t="n">
        <x:f>IFERROR(E591/C591,0)</x:f>
        <x:v>-0.09974024894541082</x:v>
      </x:c>
      <x:c r="G591" s="23" t="n">
        <x:v>1507</x:v>
      </x:c>
      <x:c r="H591" s="23" t="n">
        <x:v>330</x:v>
      </x:c>
      <x:c r="I591" s="23"/>
      <x:c r="J591" s="20"/>
      <x:c r="K591" s="26" t="n">
        <x:v>1</x:v>
      </x:c>
      <x:c r="L591" s="26" t="n">
        <x:v>1</x:v>
      </x:c>
      <x:c r="M591" s="14" t="str">
        <x:f>IF(AND(K591=1,L591=1),"both_correct",IF(K591=1,"vanilla_only",IF(L591=1,"candidate_only","both_wrong")))</x:f>
        <x:v>both_correct</x:v>
      </x:c>
      <x:c r="N591" s="26" t="n">
        <x:v>0</x:v>
      </x:c>
      <x:c r="O591" s="26" t="n">
        <x:v>0</x:v>
      </x:c>
    </x:row>
    <x:row r="592" ht="21" customHeight="1">
      <x:c r="A592" s="14" t="str">
        <x:v>长文本根因推理</x:v>
      </x:c>
      <x:c r="B592" s="14" t="str">
        <x:v>TC00000045</x:v>
      </x:c>
      <x:c r="C592" s="17" t="n">
        <x:v>98.0787</x:v>
      </x:c>
      <x:c r="D592" s="17" t="n">
        <x:v>102.6044</x:v>
      </x:c>
      <x:c r="E592" s="17" t="n">
        <x:f>C592-D592</x:f>
        <x:v>-4.5257000000000005</x:v>
      </x:c>
      <x:c r="F592" s="20" t="n">
        <x:f>IFERROR(E592/C592,0)</x:f>
        <x:v>-0.04614355614419849</x:v>
      </x:c>
      <x:c r="G592" s="23" t="n">
        <x:v>1568</x:v>
      </x:c>
      <x:c r="H592" s="23" t="n">
        <x:v>310</x:v>
      </x:c>
      <x:c r="I592" s="23"/>
      <x:c r="J592" s="20"/>
      <x:c r="K592" s="26" t="n">
        <x:v>1</x:v>
      </x:c>
      <x:c r="L592" s="26" t="n">
        <x:v>1</x:v>
      </x:c>
      <x:c r="M592" s="14" t="str">
        <x:f>IF(AND(K592=1,L592=1),"both_correct",IF(K592=1,"vanilla_only",IF(L592=1,"candidate_only","both_wrong")))</x:f>
        <x:v>both_correct</x:v>
      </x:c>
      <x:c r="N592" s="26" t="n">
        <x:v>0</x:v>
      </x:c>
      <x:c r="O592" s="26" t="n">
        <x:v>0</x:v>
      </x:c>
    </x:row>
    <x:row r="593" ht="21" customHeight="1">
      <x:c r="A593" s="14" t="str">
        <x:v>长文本根因推理</x:v>
      </x:c>
      <x:c r="B593" s="14" t="str">
        <x:v>TC00000046</x:v>
      </x:c>
      <x:c r="C593" s="17" t="n">
        <x:v>91.9034</x:v>
      </x:c>
      <x:c r="D593" s="17" t="n">
        <x:v>72.433</x:v>
      </x:c>
      <x:c r="E593" s="17" t="n">
        <x:f>C593-D593</x:f>
        <x:v>19.470399999999998</x:v>
      </x:c>
      <x:c r="F593" s="20" t="n">
        <x:f>IFERROR(E593/C593,0)</x:f>
        <x:v>0.2118572327030338</x:v>
      </x:c>
      <x:c r="G593" s="23" t="n">
        <x:v>1483</x:v>
      </x:c>
      <x:c r="H593" s="23" t="n">
        <x:v>315</x:v>
      </x:c>
      <x:c r="I593" s="23"/>
      <x:c r="J593" s="20"/>
      <x:c r="K593" s="26" t="n">
        <x:v>1</x:v>
      </x:c>
      <x:c r="L593" s="26" t="n">
        <x:v>1</x:v>
      </x:c>
      <x:c r="M593" s="14" t="str">
        <x:f>IF(AND(K593=1,L593=1),"both_correct",IF(K593=1,"vanilla_only",IF(L593=1,"candidate_only","both_wrong")))</x:f>
        <x:v>both_correct</x:v>
      </x:c>
      <x:c r="N593" s="26" t="n">
        <x:v>0</x:v>
      </x:c>
      <x:c r="O593" s="26" t="n">
        <x:v>0</x:v>
      </x:c>
    </x:row>
    <x:row r="594" ht="21" customHeight="1">
      <x:c r="A594" s="14" t="str">
        <x:v>长文本根因推理</x:v>
      </x:c>
      <x:c r="B594" s="14" t="str">
        <x:v>TC00000047</x:v>
      </x:c>
      <x:c r="C594" s="17" t="n">
        <x:v>80.2087</x:v>
      </x:c>
      <x:c r="D594" s="17" t="n">
        <x:v>57.7631</x:v>
      </x:c>
      <x:c r="E594" s="17" t="n">
        <x:f>C594-D594</x:f>
        <x:v>22.445599999999992</x:v>
      </x:c>
      <x:c r="F594" s="20" t="n">
        <x:f>IFERROR(E594/C594,0)</x:f>
        <x:v>0.27983996748482387</x:v>
      </x:c>
      <x:c r="G594" s="23" t="n">
        <x:v>1627</x:v>
      </x:c>
      <x:c r="H594" s="23" t="n">
        <x:v>331</x:v>
      </x:c>
      <x:c r="I594" s="23"/>
      <x:c r="J594" s="20"/>
      <x:c r="K594" s="26" t="n">
        <x:v>1</x:v>
      </x:c>
      <x:c r="L594" s="26" t="n">
        <x:v>1</x:v>
      </x:c>
      <x:c r="M594" s="14" t="str">
        <x:f>IF(AND(K594=1,L594=1),"both_correct",IF(K594=1,"vanilla_only",IF(L594=1,"candidate_only","both_wrong")))</x:f>
        <x:v>both_correct</x:v>
      </x:c>
      <x:c r="N594" s="26" t="n">
        <x:v>0</x:v>
      </x:c>
      <x:c r="O594" s="26" t="n">
        <x:v>0</x:v>
      </x:c>
    </x:row>
    <x:row r="595" ht="21" customHeight="1">
      <x:c r="A595" s="14" t="str">
        <x:v>告警诊断建议总结</x:v>
      </x:c>
      <x:c r="B595" s="14" t="str">
        <x:v>YH0003</x:v>
      </x:c>
      <x:c r="C595" s="17" t="n">
        <x:v>102.9749</x:v>
      </x:c>
      <x:c r="D595" s="17" t="n">
        <x:v>115.9768</x:v>
      </x:c>
      <x:c r="E595" s="17" t="n">
        <x:f>C595-D595</x:f>
        <x:v>-13.001899999999992</x:v>
      </x:c>
      <x:c r="F595" s="20" t="n">
        <x:f>IFERROR(E595/C595,0)</x:f>
        <x:v>-0.12626280773275808</x:v>
      </x:c>
      <x:c r="G595" s="23" t="n">
        <x:v>1820</x:v>
      </x:c>
      <x:c r="H595" s="23" t="n">
        <x:v>285</x:v>
      </x:c>
      <x:c r="I595" s="23"/>
      <x:c r="J595" s="20"/>
      <x:c r="K595" s="26" t="n">
        <x:v>1</x:v>
      </x:c>
      <x:c r="L595" s="26" t="n">
        <x:v>1</x:v>
      </x:c>
      <x:c r="M595" s="14" t="str">
        <x:f>IF(AND(K595=1,L595=1),"both_correct",IF(K595=1,"vanilla_only",IF(L595=1,"candidate_only","both_wrong")))</x:f>
        <x:v>both_correct</x:v>
      </x:c>
      <x:c r="N595" s="26" t="n">
        <x:v>0</x:v>
      </x:c>
      <x:c r="O595" s="26" t="n">
        <x:v>0</x:v>
      </x:c>
    </x:row>
    <x:row r="596" ht="21" customHeight="1">
      <x:c r="A596" s="14" t="str">
        <x:v>告警诊断建议总结</x:v>
      </x:c>
      <x:c r="B596" s="14" t="str">
        <x:v>YH0006</x:v>
      </x:c>
      <x:c r="C596" s="17" t="n">
        <x:v>123.6422</x:v>
      </x:c>
      <x:c r="D596" s="17" t="n">
        <x:v>123.6018</x:v>
      </x:c>
      <x:c r="E596" s="17" t="n">
        <x:f>C596-D596</x:f>
        <x:v>0.04040000000000532</x:v>
      </x:c>
      <x:c r="F596" s="20" t="n">
        <x:f>IFERROR(E596/C596,0)</x:f>
        <x:v>0.00032674928139425955</x:v>
      </x:c>
      <x:c r="G596" s="23" t="n">
        <x:v>1977</x:v>
      </x:c>
      <x:c r="H596" s="23" t="n">
        <x:v>206</x:v>
      </x:c>
      <x:c r="I596" s="23"/>
      <x:c r="J596" s="20"/>
      <x:c r="K596" s="26" t="n">
        <x:v>1</x:v>
      </x:c>
      <x:c r="L596" s="26" t="n">
        <x:v>1</x:v>
      </x:c>
      <x:c r="M596" s="14" t="str">
        <x:f>IF(AND(K596=1,L596=1),"both_correct",IF(K596=1,"vanilla_only",IF(L596=1,"candidate_only","both_wrong")))</x:f>
        <x:v>both_correct</x:v>
      </x:c>
      <x:c r="N596" s="26" t="n">
        <x:v>0</x:v>
      </x:c>
      <x:c r="O596" s="26" t="n">
        <x:v>0</x:v>
      </x:c>
    </x:row>
    <x:row r="597" ht="21" customHeight="1">
      <x:c r="A597" s="14" t="str">
        <x:v>告警诊断建议总结</x:v>
      </x:c>
      <x:c r="B597" s="14" t="str">
        <x:v>YH0009</x:v>
      </x:c>
      <x:c r="C597" s="17" t="n">
        <x:v>102.7322</x:v>
      </x:c>
      <x:c r="D597" s="17" t="n">
        <x:v>118.0699</x:v>
      </x:c>
      <x:c r="E597" s="17" t="n">
        <x:f>C597-D597</x:f>
        <x:v>-15.337699999999998</x:v>
      </x:c>
      <x:c r="F597" s="20" t="n">
        <x:f>IFERROR(E597/C597,0)</x:f>
        <x:v>-0.14929788323427315</x:v>
      </x:c>
      <x:c r="G597" s="23" t="n">
        <x:v>1699</x:v>
      </x:c>
      <x:c r="H597" s="23" t="n">
        <x:v>215</x:v>
      </x:c>
      <x:c r="I597" s="23"/>
      <x:c r="J597" s="20"/>
      <x:c r="K597" s="26" t="n">
        <x:v>1</x:v>
      </x:c>
      <x:c r="L597" s="26" t="n">
        <x:v>1</x:v>
      </x:c>
      <x:c r="M597" s="14" t="str">
        <x:f>IF(AND(K597=1,L597=1),"both_correct",IF(K597=1,"vanilla_only",IF(L597=1,"candidate_only","both_wrong")))</x:f>
        <x:v>both_correct</x:v>
      </x:c>
      <x:c r="N597" s="26" t="n">
        <x:v>0</x:v>
      </x:c>
      <x:c r="O597" s="26" t="n">
        <x:v>0</x:v>
      </x:c>
    </x:row>
    <x:row r="598" ht="21" customHeight="1">
      <x:c r="A598" s="14" t="str">
        <x:v>告警诊断建议总结</x:v>
      </x:c>
      <x:c r="B598" s="14" t="str">
        <x:v>YH0014</x:v>
      </x:c>
      <x:c r="C598" s="17" t="n">
        <x:v>130.5518</x:v>
      </x:c>
      <x:c r="D598" s="17" t="n">
        <x:v>126.3887</x:v>
      </x:c>
      <x:c r="E598" s="17" t="n">
        <x:f>C598-D598</x:f>
        <x:v>4.163099999999986</x:v>
      </x:c>
      <x:c r="F598" s="20" t="n">
        <x:f>IFERROR(E598/C598,0)</x:f>
        <x:v>0.03188849177108233</x:v>
      </x:c>
      <x:c r="G598" s="23" t="n">
        <x:v>2275</x:v>
      </x:c>
      <x:c r="H598" s="23" t="n">
        <x:v>433</x:v>
      </x:c>
      <x:c r="I598" s="23"/>
      <x:c r="J598" s="20"/>
      <x:c r="K598" s="26" t="n">
        <x:v>1</x:v>
      </x:c>
      <x:c r="L598" s="26" t="n">
        <x:v>1</x:v>
      </x:c>
      <x:c r="M598" s="14" t="str">
        <x:f>IF(AND(K598=1,L598=1),"both_correct",IF(K598=1,"vanilla_only",IF(L598=1,"candidate_only","both_wrong")))</x:f>
        <x:v>both_correct</x:v>
      </x:c>
      <x:c r="N598" s="26" t="n">
        <x:v>0</x:v>
      </x:c>
      <x:c r="O598" s="26" t="n">
        <x:v>0</x:v>
      </x:c>
    </x:row>
    <x:row r="599" ht="21" customHeight="1">
      <x:c r="A599" s="14" t="str">
        <x:v>告警诊断建议总结</x:v>
      </x:c>
      <x:c r="B599" s="14" t="str">
        <x:v>YH0020</x:v>
      </x:c>
      <x:c r="C599" s="17" t="n">
        <x:v>100.4851</x:v>
      </x:c>
      <x:c r="D599" s="17" t="n">
        <x:v>100.4389</x:v>
      </x:c>
      <x:c r="E599" s="17" t="n">
        <x:f>C599-D599</x:f>
        <x:v>0.04619999999999891</x:v>
      </x:c>
      <x:c r="F599" s="20" t="n">
        <x:f>IFERROR(E599/C599,0)</x:f>
        <x:v>0.0004597696573919806</x:v>
      </x:c>
      <x:c r="G599" s="23" t="n">
        <x:v>1618</x:v>
      </x:c>
      <x:c r="H599" s="23" t="n">
        <x:v>135</x:v>
      </x:c>
      <x:c r="I599" s="23"/>
      <x:c r="J599" s="20"/>
      <x:c r="K599" s="26" t="n">
        <x:v>0</x:v>
      </x:c>
      <x:c r="L599" s="26" t="n">
        <x:v>1</x:v>
      </x:c>
      <x:c r="M599" s="14" t="str">
        <x:f>IF(AND(K599=1,L599=1),"both_correct",IF(K599=1,"vanilla_only",IF(L599=1,"candidate_only","both_wrong")))</x:f>
        <x:v>candidate_only</x:v>
      </x:c>
      <x:c r="N599" s="26" t="n">
        <x:v>0</x:v>
      </x:c>
      <x:c r="O599" s="26" t="n">
        <x:v>0</x:v>
      </x:c>
    </x:row>
    <x:row r="600" ht="21" customHeight="1">
      <x:c r="A600" s="14" t="str">
        <x:v>告警诊断建议总结</x:v>
      </x:c>
      <x:c r="B600" s="14" t="str">
        <x:v>YH0023</x:v>
      </x:c>
      <x:c r="C600" s="17" t="n">
        <x:v>146.7852</x:v>
      </x:c>
      <x:c r="D600" s="17" t="n">
        <x:v>124.5836</x:v>
      </x:c>
      <x:c r="E600" s="17" t="n">
        <x:f>C600-D600</x:f>
        <x:v>22.2016</x:v>
      </x:c>
      <x:c r="F600" s="20" t="n">
        <x:f>IFERROR(E600/C600,0)</x:f>
        <x:v>0.15125230609080478</x:v>
      </x:c>
      <x:c r="G600" s="23" t="n">
        <x:v>2642</x:v>
      </x:c>
      <x:c r="H600" s="23" t="n">
        <x:v>388</x:v>
      </x:c>
      <x:c r="I600" s="23"/>
      <x:c r="J600" s="20"/>
      <x:c r="K600" s="26" t="n">
        <x:v>1</x:v>
      </x:c>
      <x:c r="L600" s="26" t="n">
        <x:v>1</x:v>
      </x:c>
      <x:c r="M600" s="14" t="str">
        <x:f>IF(AND(K600=1,L600=1),"both_correct",IF(K600=1,"vanilla_only",IF(L600=1,"candidate_only","both_wrong")))</x:f>
        <x:v>both_correct</x:v>
      </x:c>
      <x:c r="N600" s="26" t="n">
        <x:v>0</x:v>
      </x:c>
      <x:c r="O600" s="26" t="n">
        <x:v>0</x:v>
      </x:c>
    </x:row>
    <x:row r="601" ht="21" customHeight="1">
      <x:c r="A601" s="14" t="str">
        <x:v>告警诊断建议总结</x:v>
      </x:c>
      <x:c r="B601" s="14" t="str">
        <x:v>YH0026</x:v>
      </x:c>
      <x:c r="C601" s="17" t="n">
        <x:v>99.9615</x:v>
      </x:c>
      <x:c r="D601" s="17" t="n">
        <x:v>114.6793</x:v>
      </x:c>
      <x:c r="E601" s="17" t="n">
        <x:f>C601-D601</x:f>
        <x:v>-14.717799999999997</x:v>
      </x:c>
      <x:c r="F601" s="20" t="n">
        <x:f>IFERROR(E601/C601,0)</x:f>
        <x:v>-0.1472346853538612</x:v>
      </x:c>
      <x:c r="G601" s="23" t="n">
        <x:v>1735</x:v>
      </x:c>
      <x:c r="H601" s="23" t="n">
        <x:v>276</x:v>
      </x:c>
      <x:c r="I601" s="23"/>
      <x:c r="J601" s="20"/>
      <x:c r="K601" s="26" t="n">
        <x:v>1</x:v>
      </x:c>
      <x:c r="L601" s="26" t="n">
        <x:v>1</x:v>
      </x:c>
      <x:c r="M601" s="14" t="str">
        <x:f>IF(AND(K601=1,L601=1),"both_correct",IF(K601=1,"vanilla_only",IF(L601=1,"candidate_only","both_wrong")))</x:f>
        <x:v>both_correct</x:v>
      </x:c>
      <x:c r="N601" s="26" t="n">
        <x:v>0</x:v>
      </x:c>
      <x:c r="O601" s="26" t="n">
        <x:v>0</x:v>
      </x:c>
    </x:row>
    <x:row r="602" ht="21" customHeight="1">
      <x:c r="A602" s="14" t="str">
        <x:v>告警诊断建议总结</x:v>
      </x:c>
      <x:c r="B602" s="14" t="str">
        <x:v>YH0029</x:v>
      </x:c>
      <x:c r="C602" s="17" t="n">
        <x:v>90.4725</x:v>
      </x:c>
      <x:c r="D602" s="17" t="n">
        <x:v>104.5675</x:v>
      </x:c>
      <x:c r="E602" s="17" t="n">
        <x:f>C602-D602</x:f>
        <x:v>-14.094999999999999</x:v>
      </x:c>
      <x:c r="F602" s="20" t="n">
        <x:f>IFERROR(E602/C602,0)</x:f>
        <x:v>-0.15579319682776532</x:v>
      </x:c>
      <x:c r="G602" s="23" t="n">
        <x:v>1497</x:v>
      </x:c>
      <x:c r="H602" s="23" t="n">
        <x:v>232</x:v>
      </x:c>
      <x:c r="I602" s="23"/>
      <x:c r="J602" s="20"/>
      <x:c r="K602" s="26" t="n">
        <x:v>1</x:v>
      </x:c>
      <x:c r="L602" s="26" t="n">
        <x:v>1</x:v>
      </x:c>
      <x:c r="M602" s="14" t="str">
        <x:f>IF(AND(K602=1,L602=1),"both_correct",IF(K602=1,"vanilla_only",IF(L602=1,"candidate_only","both_wrong")))</x:f>
        <x:v>both_correct</x:v>
      </x:c>
      <x:c r="N602" s="26" t="n">
        <x:v>0</x:v>
      </x:c>
      <x:c r="O602" s="26" t="n">
        <x:v>0</x:v>
      </x:c>
    </x:row>
    <x:row r="603" ht="21" customHeight="1">
      <x:c r="A603" s="14" t="str">
        <x:v>告警诊断建议总结</x:v>
      </x:c>
      <x:c r="B603" s="14" t="str">
        <x:v>YH0032</x:v>
      </x:c>
      <x:c r="C603" s="17" t="n">
        <x:v>130.7112</x:v>
      </x:c>
      <x:c r="D603" s="17" t="n">
        <x:v>132.0328</x:v>
      </x:c>
      <x:c r="E603" s="17" t="n">
        <x:f>C603-D603</x:f>
        <x:v>-1.3216000000000179</x:v>
      </x:c>
      <x:c r="F603" s="20" t="n">
        <x:f>IFERROR(E603/C603,0)</x:f>
        <x:v>-0.010110839775015592</x:v>
      </x:c>
      <x:c r="G603" s="23" t="n">
        <x:v>4605</x:v>
      </x:c>
      <x:c r="H603" s="23" t="n">
        <x:v>2792</x:v>
      </x:c>
      <x:c r="I603" s="23"/>
      <x:c r="J603" s="20"/>
      <x:c r="K603" s="26" t="n">
        <x:v>1</x:v>
      </x:c>
      <x:c r="L603" s="26" t="n">
        <x:v>1</x:v>
      </x:c>
      <x:c r="M603" s="14" t="str">
        <x:f>IF(AND(K603=1,L603=1),"both_correct",IF(K603=1,"vanilla_only",IF(L603=1,"candidate_only","both_wrong")))</x:f>
        <x:v>both_correct</x:v>
      </x:c>
      <x:c r="N603" s="26" t="n">
        <x:v>0</x:v>
      </x:c>
      <x:c r="O603" s="26" t="n">
        <x:v>0</x:v>
      </x:c>
    </x:row>
    <x:row r="604" ht="21" customHeight="1">
      <x:c r="A604" s="14" t="str">
        <x:v>告警诊断建议总结</x:v>
      </x:c>
      <x:c r="B604" s="14" t="str">
        <x:v>YH0035</x:v>
      </x:c>
      <x:c r="C604" s="17" t="n">
        <x:v>88.118</x:v>
      </x:c>
      <x:c r="D604" s="17" t="n">
        <x:v>98.3405</x:v>
      </x:c>
      <x:c r="E604" s="17" t="n">
        <x:f>C604-D604</x:f>
        <x:v>-10.22250000000001</x:v>
      </x:c>
      <x:c r="F604" s="20" t="n">
        <x:f>IFERROR(E604/C604,0)</x:f>
        <x:v>-0.11600921491636228</x:v>
      </x:c>
      <x:c r="G604" s="23" t="n">
        <x:v>1541</x:v>
      </x:c>
      <x:c r="H604" s="23" t="n">
        <x:v>188</x:v>
      </x:c>
      <x:c r="I604" s="23"/>
      <x:c r="J604" s="20"/>
      <x:c r="K604" s="26" t="n">
        <x:v>1</x:v>
      </x:c>
      <x:c r="L604" s="26" t="n">
        <x:v>0</x:v>
      </x:c>
      <x:c r="M604" s="14" t="str">
        <x:f>IF(AND(K604=1,L604=1),"both_correct",IF(K604=1,"vanilla_only",IF(L604=1,"candidate_only","both_wrong")))</x:f>
        <x:v>vanilla_only</x:v>
      </x:c>
      <x:c r="N604" s="26" t="n">
        <x:v>0</x:v>
      </x:c>
      <x:c r="O604" s="26" t="n">
        <x:v>0</x:v>
      </x:c>
    </x:row>
    <x:row r="605" ht="21" customHeight="1">
      <x:c r="A605" s="14" t="str">
        <x:v>告警诊断建议总结</x:v>
      </x:c>
      <x:c r="B605" s="14" t="str">
        <x:v>YH0038</x:v>
      </x:c>
      <x:c r="C605" s="17" t="n">
        <x:v>85.9569</x:v>
      </x:c>
      <x:c r="D605" s="17" t="n">
        <x:v>90.0139</x:v>
      </x:c>
      <x:c r="E605" s="17" t="n">
        <x:f>C605-D605</x:f>
        <x:v>-4.057000000000002</x:v>
      </x:c>
      <x:c r="F605" s="20" t="n">
        <x:f>IFERROR(E605/C605,0)</x:f>
        <x:v>-0.04719807252239206</x:v>
      </x:c>
      <x:c r="G605" s="23" t="n">
        <x:v>1501</x:v>
      </x:c>
      <x:c r="H605" s="23" t="n">
        <x:v>122</x:v>
      </x:c>
      <x:c r="I605" s="23"/>
      <x:c r="J605" s="20"/>
      <x:c r="K605" s="26" t="n">
        <x:v>1</x:v>
      </x:c>
      <x:c r="L605" s="26" t="n">
        <x:v>1</x:v>
      </x:c>
      <x:c r="M605" s="14" t="str">
        <x:f>IF(AND(K605=1,L605=1),"both_correct",IF(K605=1,"vanilla_only",IF(L605=1,"candidate_only","both_wrong")))</x:f>
        <x:v>both_correct</x:v>
      </x:c>
      <x:c r="N605" s="26" t="n">
        <x:v>0</x:v>
      </x:c>
      <x:c r="O605" s="26" t="n">
        <x:v>0</x:v>
      </x:c>
    </x:row>
    <x:row r="606" ht="21" customHeight="1">
      <x:c r="A606" s="14" t="str">
        <x:v>ReAct 白盒机器数据分析</x:v>
      </x:c>
      <x:c r="B606" s="14" t="str">
        <x:v>TC00000001</x:v>
      </x:c>
      <x:c r="C606" s="17" t="n">
        <x:v>62.7416</x:v>
      </x:c>
      <x:c r="D606" s="17" t="n">
        <x:v>60.9359</x:v>
      </x:c>
      <x:c r="E606" s="17" t="n">
        <x:f>C606-D606</x:f>
        <x:v>1.8057000000000016</x:v>
      </x:c>
      <x:c r="F606" s="20" t="n">
        <x:f>IFERROR(E606/C606,0)</x:f>
        <x:v>0.028779948232113967</x:v>
      </x:c>
      <x:c r="G606" s="23" t="n">
        <x:v>995</x:v>
      </x:c>
      <x:c r="H606" s="23" t="n">
        <x:v>161</x:v>
      </x:c>
      <x:c r="I606" s="23"/>
      <x:c r="J606" s="20"/>
      <x:c r="K606" s="26" t="n">
        <x:v>1</x:v>
      </x:c>
      <x:c r="L606" s="26" t="n">
        <x:v>1</x:v>
      </x:c>
      <x:c r="M606" s="14" t="str">
        <x:f>IF(AND(K606=1,L606=1),"both_correct",IF(K606=1,"vanilla_only",IF(L606=1,"candidate_only","both_wrong")))</x:f>
        <x:v>both_correct</x:v>
      </x:c>
      <x:c r="N606" s="26" t="n">
        <x:v>0</x:v>
      </x:c>
      <x:c r="O606" s="26" t="n">
        <x:v>0</x:v>
      </x:c>
    </x:row>
    <x:row r="607" ht="21" customHeight="1">
      <x:c r="A607" s="14" t="str">
        <x:v>ReAct 白盒机器数据分析</x:v>
      </x:c>
      <x:c r="B607" s="14" t="str">
        <x:v>TC00000002</x:v>
      </x:c>
      <x:c r="C607" s="17" t="n">
        <x:v>81.5287</x:v>
      </x:c>
      <x:c r="D607" s="17" t="n">
        <x:v>70.7358</x:v>
      </x:c>
      <x:c r="E607" s="17" t="n">
        <x:f>C607-D607</x:f>
        <x:v>10.792900000000003</x:v>
      </x:c>
      <x:c r="F607" s="20" t="n">
        <x:f>IFERROR(E607/C607,0)</x:f>
        <x:v>0.13238160304285487</x:v>
      </x:c>
      <x:c r="G607" s="23" t="n">
        <x:v>1308</x:v>
      </x:c>
      <x:c r="H607" s="23" t="n">
        <x:v>192</x:v>
      </x:c>
      <x:c r="I607" s="23"/>
      <x:c r="J607" s="20"/>
      <x:c r="K607" s="26" t="n">
        <x:v>1</x:v>
      </x:c>
      <x:c r="L607" s="26" t="n">
        <x:v>1</x:v>
      </x:c>
      <x:c r="M607" s="14" t="str">
        <x:f>IF(AND(K607=1,L607=1),"both_correct",IF(K607=1,"vanilla_only",IF(L607=1,"candidate_only","both_wrong")))</x:f>
        <x:v>both_correct</x:v>
      </x:c>
      <x:c r="N607" s="26" t="n">
        <x:v>0</x:v>
      </x:c>
      <x:c r="O607" s="26" t="n">
        <x:v>0</x:v>
      </x:c>
    </x:row>
    <x:row r="608" ht="21" customHeight="1">
      <x:c r="A608" s="14" t="str">
        <x:v>ReAct 白盒机器数据分析</x:v>
      </x:c>
      <x:c r="B608" s="14" t="str">
        <x:v>TC00000003</x:v>
      </x:c>
      <x:c r="C608" s="17" t="n">
        <x:v>76.9736</x:v>
      </x:c>
      <x:c r="D608" s="17" t="n">
        <x:v>69.5109</x:v>
      </x:c>
      <x:c r="E608" s="17" t="n">
        <x:f>C608-D608</x:f>
        <x:v>7.462699999999998</x:v>
      </x:c>
      <x:c r="F608" s="20" t="n">
        <x:f>IFERROR(E608/C608,0)</x:f>
        <x:v>0.0969514223058295</x:v>
      </x:c>
      <x:c r="G608" s="23" t="n">
        <x:v>1279</x:v>
      </x:c>
      <x:c r="H608" s="23" t="n">
        <x:v>130</x:v>
      </x:c>
      <x:c r="I608" s="23"/>
      <x:c r="J608" s="20"/>
      <x:c r="K608" s="26" t="n">
        <x:v>1</x:v>
      </x:c>
      <x:c r="L608" s="26" t="n">
        <x:v>1</x:v>
      </x:c>
      <x:c r="M608" s="14" t="str">
        <x:f>IF(AND(K608=1,L608=1),"both_correct",IF(K608=1,"vanilla_only",IF(L608=1,"candidate_only","both_wrong")))</x:f>
        <x:v>both_correct</x:v>
      </x:c>
      <x:c r="N608" s="26" t="n">
        <x:v>0</x:v>
      </x:c>
      <x:c r="O608" s="26" t="n">
        <x:v>0</x:v>
      </x:c>
    </x:row>
    <x:row r="609" ht="21" customHeight="1">
      <x:c r="A609" s="14" t="str">
        <x:v>ReAct 白盒机器数据分析</x:v>
      </x:c>
      <x:c r="B609" s="14" t="str">
        <x:v>TC00000004</x:v>
      </x:c>
      <x:c r="C609" s="17" t="n">
        <x:v>43.4138</x:v>
      </x:c>
      <x:c r="D609" s="17" t="n">
        <x:v>65.1697</x:v>
      </x:c>
      <x:c r="E609" s="17" t="n">
        <x:f>C609-D609</x:f>
        <x:v>-21.755900000000004</x:v>
      </x:c>
      <x:c r="F609" s="20" t="n">
        <x:f>IFERROR(E609/C609,0)</x:f>
        <x:v>-0.5011286733711401</x:v>
      </x:c>
      <x:c r="G609" s="23" t="n">
        <x:v>741</x:v>
      </x:c>
      <x:c r="H609" s="23" t="n">
        <x:v>125</x:v>
      </x:c>
      <x:c r="I609" s="23"/>
      <x:c r="J609" s="20"/>
      <x:c r="K609" s="26" t="n">
        <x:v>1</x:v>
      </x:c>
      <x:c r="L609" s="26" t="n">
        <x:v>1</x:v>
      </x:c>
      <x:c r="M609" s="14" t="str">
        <x:f>IF(AND(K609=1,L609=1),"both_correct",IF(K609=1,"vanilla_only",IF(L609=1,"candidate_only","both_wrong")))</x:f>
        <x:v>both_correct</x:v>
      </x:c>
      <x:c r="N609" s="26" t="n">
        <x:v>0</x:v>
      </x:c>
      <x:c r="O609" s="26" t="n">
        <x:v>0</x:v>
      </x:c>
    </x:row>
    <x:row r="610" ht="21" customHeight="1">
      <x:c r="A610" s="14" t="str">
        <x:v>ReAct 白盒机器数据分析</x:v>
      </x:c>
      <x:c r="B610" s="14" t="str">
        <x:v>TC00000005</x:v>
      </x:c>
      <x:c r="C610" s="17" t="n">
        <x:v>64.9431</x:v>
      </x:c>
      <x:c r="D610" s="17" t="n">
        <x:v>56.0959</x:v>
      </x:c>
      <x:c r="E610" s="17" t="n">
        <x:f>C610-D610</x:f>
        <x:v>8.8472</x:v>
      </x:c>
      <x:c r="F610" s="20" t="n">
        <x:f>IFERROR(E610/C610,0)</x:f>
        <x:v>0.13623002289696673</x:v>
      </x:c>
      <x:c r="G610" s="23" t="n">
        <x:v>1071</x:v>
      </x:c>
      <x:c r="H610" s="23" t="n">
        <x:v>102</x:v>
      </x:c>
      <x:c r="I610" s="23"/>
      <x:c r="J610" s="20"/>
      <x:c r="K610" s="26" t="n">
        <x:v>1</x:v>
      </x:c>
      <x:c r="L610" s="26" t="n">
        <x:v>1</x:v>
      </x:c>
      <x:c r="M610" s="14" t="str">
        <x:f>IF(AND(K610=1,L610=1),"both_correct",IF(K610=1,"vanilla_only",IF(L610=1,"candidate_only","both_wrong")))</x:f>
        <x:v>both_correct</x:v>
      </x:c>
      <x:c r="N610" s="26" t="n">
        <x:v>0</x:v>
      </x:c>
      <x:c r="O610" s="26" t="n">
        <x:v>0</x:v>
      </x:c>
    </x:row>
    <x:row r="611" ht="21" customHeight="1">
      <x:c r="A611" s="14" t="str">
        <x:v>ReAct 白盒机器数据分析</x:v>
      </x:c>
      <x:c r="B611" s="14" t="str">
        <x:v>TC00000006</x:v>
      </x:c>
      <x:c r="C611" s="17" t="n">
        <x:v>64.4082</x:v>
      </x:c>
      <x:c r="D611" s="17" t="n">
        <x:v>86.2323</x:v>
      </x:c>
      <x:c r="E611" s="17" t="n">
        <x:f>C611-D611</x:f>
        <x:v>-21.8241</x:v>
      </x:c>
      <x:c r="F611" s="20" t="n">
        <x:f>IFERROR(E611/C611,0)</x:f>
        <x:v>-0.3388403960986335</x:v>
      </x:c>
      <x:c r="G611" s="23" t="n">
        <x:v>1014</x:v>
      </x:c>
      <x:c r="H611" s="23" t="n">
        <x:v>141</x:v>
      </x:c>
      <x:c r="I611" s="23"/>
      <x:c r="J611" s="20"/>
      <x:c r="K611" s="26" t="n">
        <x:v>1</x:v>
      </x:c>
      <x:c r="L611" s="26" t="n">
        <x:v>1</x:v>
      </x:c>
      <x:c r="M611" s="14" t="str">
        <x:f>IF(AND(K611=1,L611=1),"both_correct",IF(K611=1,"vanilla_only",IF(L611=1,"candidate_only","both_wrong")))</x:f>
        <x:v>both_correct</x:v>
      </x:c>
      <x:c r="N611" s="26" t="n">
        <x:v>0</x:v>
      </x:c>
      <x:c r="O611" s="26" t="n">
        <x:v>0</x:v>
      </x:c>
    </x:row>
    <x:row r="612" ht="21" customHeight="1">
      <x:c r="A612" s="14" t="str">
        <x:v>ReAct 白盒机器数据分析</x:v>
      </x:c>
      <x:c r="B612" s="14" t="str">
        <x:v>TC00000007</x:v>
      </x:c>
      <x:c r="C612" s="17" t="n">
        <x:v>79.9646</x:v>
      </x:c>
      <x:c r="D612" s="17" t="n">
        <x:v>67.8533</x:v>
      </x:c>
      <x:c r="E612" s="17" t="n">
        <x:f>C612-D612</x:f>
        <x:v>12.1113</x:v>
      </x:c>
      <x:c r="F612" s="20" t="n">
        <x:f>IFERROR(E612/C612,0)</x:f>
        <x:v>0.15145827028460093</x:v>
      </x:c>
      <x:c r="G612" s="23" t="n">
        <x:v>1306</x:v>
      </x:c>
      <x:c r="H612" s="23" t="n">
        <x:v>127</x:v>
      </x:c>
      <x:c r="I612" s="23"/>
      <x:c r="J612" s="20"/>
      <x:c r="K612" s="26" t="n">
        <x:v>1</x:v>
      </x:c>
      <x:c r="L612" s="26" t="n">
        <x:v>1</x:v>
      </x:c>
      <x:c r="M612" s="14" t="str">
        <x:f>IF(AND(K612=1,L612=1),"both_correct",IF(K612=1,"vanilla_only",IF(L612=1,"candidate_only","both_wrong")))</x:f>
        <x:v>both_correct</x:v>
      </x:c>
      <x:c r="N612" s="26" t="n">
        <x:v>0</x:v>
      </x:c>
      <x:c r="O612" s="26" t="n">
        <x:v>0</x:v>
      </x:c>
    </x:row>
    <x:row r="613" ht="21" customHeight="1">
      <x:c r="A613" s="14" t="str">
        <x:v>ReAct 白盒机器数据分析</x:v>
      </x:c>
      <x:c r="B613" s="14" t="str">
        <x:v>TC00000008</x:v>
      </x:c>
      <x:c r="C613" s="17" t="n">
        <x:v>57.7083</x:v>
      </x:c>
      <x:c r="D613" s="17" t="n">
        <x:v>72.89</x:v>
      </x:c>
      <x:c r="E613" s="17" t="n">
        <x:f>C613-D613</x:f>
        <x:v>-15.1817</x:v>
      </x:c>
      <x:c r="F613" s="20" t="n">
        <x:f>IFERROR(E613/C613,0)</x:f>
        <x:v>-0.26307654184926604</x:v>
      </x:c>
      <x:c r="G613" s="23" t="n">
        <x:v>964</x:v>
      </x:c>
      <x:c r="H613" s="23" t="n">
        <x:v>140</x:v>
      </x:c>
      <x:c r="I613" s="23"/>
      <x:c r="J613" s="20"/>
      <x:c r="K613" s="26" t="n">
        <x:v>1</x:v>
      </x:c>
      <x:c r="L613" s="26" t="n">
        <x:v>1</x:v>
      </x:c>
      <x:c r="M613" s="14" t="str">
        <x:f>IF(AND(K613=1,L613=1),"both_correct",IF(K613=1,"vanilla_only",IF(L613=1,"candidate_only","both_wrong")))</x:f>
        <x:v>both_correct</x:v>
      </x:c>
      <x:c r="N613" s="26" t="n">
        <x:v>0</x:v>
      </x:c>
      <x:c r="O613" s="26" t="n">
        <x:v>0</x:v>
      </x:c>
    </x:row>
    <x:row r="614" ht="21" customHeight="1">
      <x:c r="A614" s="14" t="str">
        <x:v>ReAct 白盒机器数据分析</x:v>
      </x:c>
      <x:c r="B614" s="14" t="str">
        <x:v>TC00000009</x:v>
      </x:c>
      <x:c r="C614" s="17" t="n">
        <x:v>88.1978</x:v>
      </x:c>
      <x:c r="D614" s="17" t="n">
        <x:v>78.3728</x:v>
      </x:c>
      <x:c r="E614" s="17" t="n">
        <x:f>C614-D614</x:f>
        <x:v>9.825000000000003</x:v>
      </x:c>
      <x:c r="F614" s="20" t="n">
        <x:f>IFERROR(E614/C614,0)</x:f>
        <x:v>0.11139733644149857</x:v>
      </x:c>
      <x:c r="G614" s="23" t="n">
        <x:v>1432</x:v>
      </x:c>
      <x:c r="H614" s="23" t="n">
        <x:v>109</x:v>
      </x:c>
      <x:c r="I614" s="23"/>
      <x:c r="J614" s="20"/>
      <x:c r="K614" s="26" t="n">
        <x:v>1</x:v>
      </x:c>
      <x:c r="L614" s="26" t="n">
        <x:v>1</x:v>
      </x:c>
      <x:c r="M614" s="14" t="str">
        <x:f>IF(AND(K614=1,L614=1),"both_correct",IF(K614=1,"vanilla_only",IF(L614=1,"candidate_only","both_wrong")))</x:f>
        <x:v>both_correct</x:v>
      </x:c>
      <x:c r="N614" s="26" t="n">
        <x:v>0</x:v>
      </x:c>
      <x:c r="O614" s="26" t="n">
        <x:v>0</x:v>
      </x:c>
    </x:row>
    <x:row r="615" ht="21" customHeight="1">
      <x:c r="A615" s="14" t="str">
        <x:v>ReAct 白盒机器数据分析</x:v>
      </x:c>
      <x:c r="B615" s="14" t="str">
        <x:v>TC00000010</x:v>
      </x:c>
      <x:c r="C615" s="17" t="n">
        <x:v>66.1842</x:v>
      </x:c>
      <x:c r="D615" s="17" t="n">
        <x:v>63.5079</x:v>
      </x:c>
      <x:c r="E615" s="17" t="n">
        <x:f>C615-D615</x:f>
        <x:v>2.676300000000005</x:v>
      </x:c>
      <x:c r="F615" s="20" t="n">
        <x:f>IFERROR(E615/C615,0)</x:f>
        <x:v>0.040437143608293286</x:v>
      </x:c>
      <x:c r="G615" s="23" t="n">
        <x:v>1081</x:v>
      </x:c>
      <x:c r="H615" s="23" t="n">
        <x:v>149</x:v>
      </x:c>
      <x:c r="I615" s="23"/>
      <x:c r="J615" s="20"/>
      <x:c r="K615" s="26" t="n">
        <x:v>1</x:v>
      </x:c>
      <x:c r="L615" s="26" t="n">
        <x:v>1</x:v>
      </x:c>
      <x:c r="M615" s="14" t="str">
        <x:f>IF(AND(K615=1,L615=1),"both_correct",IF(K615=1,"vanilla_only",IF(L615=1,"candidate_only","both_wrong")))</x:f>
        <x:v>both_correct</x:v>
      </x:c>
      <x:c r="N615" s="26" t="n">
        <x:v>0</x:v>
      </x:c>
      <x:c r="O615" s="26" t="n">
        <x:v>0</x:v>
      </x:c>
    </x:row>
    <x:row r="616" ht="21" customHeight="1">
      <x:c r="A616" s="14" t="str">
        <x:v>ReAct 白盒机器数据分析</x:v>
      </x:c>
      <x:c r="B616" s="14" t="str">
        <x:v>TC00000011</x:v>
      </x:c>
      <x:c r="C616" s="17" t="n">
        <x:v>73.2154</x:v>
      </x:c>
      <x:c r="D616" s="17" t="n">
        <x:v>90.8932</x:v>
      </x:c>
      <x:c r="E616" s="17" t="n">
        <x:f>C616-D616</x:f>
        <x:v>-17.67779999999999</x:v>
      </x:c>
      <x:c r="F616" s="20" t="n">
        <x:f>IFERROR(E616/C616,0)</x:f>
        <x:v>-0.24144920330968608</x:v>
      </x:c>
      <x:c r="G616" s="23" t="n">
        <x:v>1196</x:v>
      </x:c>
      <x:c r="H616" s="23" t="n">
        <x:v>160</x:v>
      </x:c>
      <x:c r="I616" s="23"/>
      <x:c r="J616" s="20"/>
      <x:c r="K616" s="26" t="n">
        <x:v>1</x:v>
      </x:c>
      <x:c r="L616" s="26" t="n">
        <x:v>1</x:v>
      </x:c>
      <x:c r="M616" s="14" t="str">
        <x:f>IF(AND(K616=1,L616=1),"both_correct",IF(K616=1,"vanilla_only",IF(L616=1,"candidate_only","both_wrong")))</x:f>
        <x:v>both_correct</x:v>
      </x:c>
      <x:c r="N616" s="26" t="n">
        <x:v>0</x:v>
      </x:c>
      <x:c r="O616" s="26" t="n">
        <x:v>0</x:v>
      </x:c>
    </x:row>
    <x:row r="617" ht="21" customHeight="1">
      <x:c r="A617" s="14" t="str">
        <x:v>ReAct 白盒机器数据分析</x:v>
      </x:c>
      <x:c r="B617" s="14" t="str">
        <x:v>TC00000012</x:v>
      </x:c>
      <x:c r="C617" s="17" t="n">
        <x:v>48.2165</x:v>
      </x:c>
      <x:c r="D617" s="17" t="n">
        <x:v>93.344</x:v>
      </x:c>
      <x:c r="E617" s="17" t="n">
        <x:f>C617-D617</x:f>
        <x:v>-45.12749999999999</x:v>
      </x:c>
      <x:c r="F617" s="20" t="n">
        <x:f>IFERROR(E617/C617,0)</x:f>
        <x:v>-0.9359347941057519</x:v>
      </x:c>
      <x:c r="G617" s="23" t="n">
        <x:v>767</x:v>
      </x:c>
      <x:c r="H617" s="23" t="n">
        <x:v>165</x:v>
      </x:c>
      <x:c r="I617" s="23"/>
      <x:c r="J617" s="20"/>
      <x:c r="K617" s="26" t="n">
        <x:v>0</x:v>
      </x:c>
      <x:c r="L617" s="26" t="n">
        <x:v>1</x:v>
      </x:c>
      <x:c r="M617" s="14" t="str">
        <x:f>IF(AND(K617=1,L617=1),"both_correct",IF(K617=1,"vanilla_only",IF(L617=1,"candidate_only","both_wrong")))</x:f>
        <x:v>candidate_only</x:v>
      </x:c>
      <x:c r="N617" s="26" t="n">
        <x:v>0</x:v>
      </x:c>
      <x:c r="O617" s="26" t="n">
        <x:v>0</x:v>
      </x:c>
    </x:row>
    <x:row r="618" ht="21" customHeight="1">
      <x:c r="A618" s="14" t="str">
        <x:v>ReAct 白盒机器数据分析</x:v>
      </x:c>
      <x:c r="B618" s="14" t="str">
        <x:v>TC00000013</x:v>
      </x:c>
      <x:c r="C618" s="17" t="n">
        <x:v>62.4726</x:v>
      </x:c>
      <x:c r="D618" s="17" t="n">
        <x:v>88.8201</x:v>
      </x:c>
      <x:c r="E618" s="17" t="n">
        <x:f>C618-D618</x:f>
        <x:v>-26.347499999999997</x:v>
      </x:c>
      <x:c r="F618" s="20" t="n">
        <x:f>IFERROR(E618/C618,0)</x:f>
        <x:v>-0.4217448929610741</x:v>
      </x:c>
      <x:c r="G618" s="23" t="n">
        <x:v>1021</x:v>
      </x:c>
      <x:c r="H618" s="23" t="n">
        <x:v>122</x:v>
      </x:c>
      <x:c r="I618" s="23"/>
      <x:c r="J618" s="20"/>
      <x:c r="K618" s="26" t="n">
        <x:v>0</x:v>
      </x:c>
      <x:c r="L618" s="26" t="n">
        <x:v>1</x:v>
      </x:c>
      <x:c r="M618" s="14" t="str">
        <x:f>IF(AND(K618=1,L618=1),"both_correct",IF(K618=1,"vanilla_only",IF(L618=1,"candidate_only","both_wrong")))</x:f>
        <x:v>candidate_only</x:v>
      </x:c>
      <x:c r="N618" s="26" t="n">
        <x:v>0</x:v>
      </x:c>
      <x:c r="O618" s="26" t="n">
        <x:v>0</x:v>
      </x:c>
    </x:row>
    <x:row r="619" ht="21" customHeight="1">
      <x:c r="A619" s="14" t="str">
        <x:v>ReAct 白盒机器数据分析</x:v>
      </x:c>
      <x:c r="B619" s="14" t="str">
        <x:v>TC00000014</x:v>
      </x:c>
      <x:c r="C619" s="17" t="n">
        <x:v>77.1704</x:v>
      </x:c>
      <x:c r="D619" s="17" t="n">
        <x:v>107.6951</x:v>
      </x:c>
      <x:c r="E619" s="17" t="n">
        <x:f>C619-D619</x:f>
        <x:v>-30.524699999999996</x:v>
      </x:c>
      <x:c r="F619" s="20" t="n">
        <x:f>IFERROR(E619/C619,0)</x:f>
        <x:v>-0.3955493297948436</x:v>
      </x:c>
      <x:c r="G619" s="23" t="n">
        <x:v>1199</x:v>
      </x:c>
      <x:c r="H619" s="23" t="n">
        <x:v>259</x:v>
      </x:c>
      <x:c r="I619" s="23"/>
      <x:c r="J619" s="20"/>
      <x:c r="K619" s="26" t="n">
        <x:v>1</x:v>
      </x:c>
      <x:c r="L619" s="26" t="n">
        <x:v>1</x:v>
      </x:c>
      <x:c r="M619" s="14" t="str">
        <x:f>IF(AND(K619=1,L619=1),"both_correct",IF(K619=1,"vanilla_only",IF(L619=1,"candidate_only","both_wrong")))</x:f>
        <x:v>both_correct</x:v>
      </x:c>
      <x:c r="N619" s="26" t="n">
        <x:v>0</x:v>
      </x:c>
      <x:c r="O619" s="26" t="n">
        <x:v>0</x:v>
      </x:c>
    </x:row>
    <x:row r="620" ht="21" customHeight="1">
      <x:c r="A620" s="14" t="str">
        <x:v>ReAct 白盒机器数据分析</x:v>
      </x:c>
      <x:c r="B620" s="14" t="str">
        <x:v>TC00000015</x:v>
      </x:c>
      <x:c r="C620" s="17" t="n">
        <x:v>102.063</x:v>
      </x:c>
      <x:c r="D620" s="17" t="n">
        <x:v>65.6038</x:v>
      </x:c>
      <x:c r="E620" s="17" t="n">
        <x:f>C620-D620</x:f>
        <x:v>36.459199999999996</x:v>
      </x:c>
      <x:c r="F620" s="20" t="n">
        <x:f>IFERROR(E620/C620,0)</x:f>
        <x:v>0.3572224998285372</x:v>
      </x:c>
      <x:c r="G620" s="23" t="n">
        <x:v>1688</x:v>
      </x:c>
      <x:c r="H620" s="23" t="n">
        <x:v>153</x:v>
      </x:c>
      <x:c r="I620" s="23"/>
      <x:c r="J620" s="20"/>
      <x:c r="K620" s="26" t="n">
        <x:v>1</x:v>
      </x:c>
      <x:c r="L620" s="26" t="n">
        <x:v>1</x:v>
      </x:c>
      <x:c r="M620" s="14" t="str">
        <x:f>IF(AND(K620=1,L620=1),"both_correct",IF(K620=1,"vanilla_only",IF(L620=1,"candidate_only","both_wrong")))</x:f>
        <x:v>both_correct</x:v>
      </x:c>
      <x:c r="N620" s="26" t="n">
        <x:v>0</x:v>
      </x:c>
      <x:c r="O620" s="26" t="n">
        <x:v>0</x:v>
      </x:c>
    </x:row>
    <x:row r="621" ht="21" customHeight="1">
      <x:c r="A621" s="14" t="str">
        <x:v>ReAct 白盒机器数据分析</x:v>
      </x:c>
      <x:c r="B621" s="14" t="str">
        <x:v>TC00000016</x:v>
      </x:c>
      <x:c r="C621" s="17" t="n">
        <x:v>62.4969</x:v>
      </x:c>
      <x:c r="D621" s="17" t="n">
        <x:v>59.4915</x:v>
      </x:c>
      <x:c r="E621" s="17" t="n">
        <x:f>C621-D621</x:f>
        <x:v>3.0053999999999945</x:v>
      </x:c>
      <x:c r="F621" s="20" t="n">
        <x:f>IFERROR(E621/C621,0)</x:f>
        <x:v>0.04808878520374602</x:v>
      </x:c>
      <x:c r="G621" s="23" t="n">
        <x:v>1034</x:v>
      </x:c>
      <x:c r="H621" s="23" t="n">
        <x:v>127</x:v>
      </x:c>
      <x:c r="I621" s="23"/>
      <x:c r="J621" s="20"/>
      <x:c r="K621" s="26" t="n">
        <x:v>1</x:v>
      </x:c>
      <x:c r="L621" s="26" t="n">
        <x:v>0</x:v>
      </x:c>
      <x:c r="M621" s="14" t="str">
        <x:f>IF(AND(K621=1,L621=1),"both_correct",IF(K621=1,"vanilla_only",IF(L621=1,"candidate_only","both_wrong")))</x:f>
        <x:v>vanilla_only</x:v>
      </x:c>
      <x:c r="N621" s="26" t="n">
        <x:v>0</x:v>
      </x:c>
      <x:c r="O621" s="26" t="n">
        <x:v>0</x:v>
      </x:c>
    </x:row>
    <x:row r="622" ht="21" customHeight="1">
      <x:c r="A622" s="14" t="str">
        <x:v>ReAct 白盒机器数据分析</x:v>
      </x:c>
      <x:c r="B622" s="14" t="str">
        <x:v>TC00000017</x:v>
      </x:c>
      <x:c r="C622" s="17" t="n">
        <x:v>74.7732</x:v>
      </x:c>
      <x:c r="D622" s="17" t="n">
        <x:v>61.0825</x:v>
      </x:c>
      <x:c r="E622" s="17" t="n">
        <x:f>C622-D622</x:f>
        <x:v>13.6907</x:v>
      </x:c>
      <x:c r="F622" s="20" t="n">
        <x:f>IFERROR(E622/C622,0)</x:f>
        <x:v>0.1830963500291548</x:v>
      </x:c>
      <x:c r="G622" s="23" t="n">
        <x:v>1258</x:v>
      </x:c>
      <x:c r="H622" s="23" t="n">
        <x:v>114</x:v>
      </x:c>
      <x:c r="I622" s="23"/>
      <x:c r="J622" s="20"/>
      <x:c r="K622" s="26" t="n">
        <x:v>1</x:v>
      </x:c>
      <x:c r="L622" s="26" t="n">
        <x:v>1</x:v>
      </x:c>
      <x:c r="M622" s="14" t="str">
        <x:f>IF(AND(K622=1,L622=1),"both_correct",IF(K622=1,"vanilla_only",IF(L622=1,"candidate_only","both_wrong")))</x:f>
        <x:v>both_correct</x:v>
      </x:c>
      <x:c r="N622" s="26" t="n">
        <x:v>0</x:v>
      </x:c>
      <x:c r="O622" s="26" t="n">
        <x:v>0</x:v>
      </x:c>
    </x:row>
    <x:row r="623" ht="21" customHeight="1">
      <x:c r="A623" s="14" t="str">
        <x:v>ReAct 白盒机器数据分析</x:v>
      </x:c>
      <x:c r="B623" s="14" t="str">
        <x:v>TC00000018</x:v>
      </x:c>
      <x:c r="C623" s="17" t="n">
        <x:v>85.1648</x:v>
      </x:c>
      <x:c r="D623" s="17" t="n">
        <x:v>98.2596</x:v>
      </x:c>
      <x:c r="E623" s="17" t="n">
        <x:f>C623-D623</x:f>
        <x:v>-13.094800000000006</x:v>
      </x:c>
      <x:c r="F623" s="20" t="n">
        <x:f>IFERROR(E623/C623,0)</x:f>
        <x:v>-0.15375836026151657</x:v>
      </x:c>
      <x:c r="G623" s="23" t="n">
        <x:v>1377</x:v>
      </x:c>
      <x:c r="H623" s="23" t="n">
        <x:v>119</x:v>
      </x:c>
      <x:c r="I623" s="23"/>
      <x:c r="J623" s="20"/>
      <x:c r="K623" s="26" t="n">
        <x:v>0</x:v>
      </x:c>
      <x:c r="L623" s="26" t="n">
        <x:v>0</x:v>
      </x:c>
      <x:c r="M623" s="14" t="str">
        <x:f>IF(AND(K623=1,L623=1),"both_correct",IF(K623=1,"vanilla_only",IF(L623=1,"candidate_only","both_wrong")))</x:f>
        <x:v>both_wrong</x:v>
      </x:c>
      <x:c r="N623" s="26" t="n">
        <x:v>0</x:v>
      </x:c>
      <x:c r="O623" s="26" t="n">
        <x:v>0</x:v>
      </x:c>
    </x:row>
    <x:row r="624" ht="21" customHeight="1">
      <x:c r="A624" s="14" t="str">
        <x:v>ReAct 白盒机器数据分析</x:v>
      </x:c>
      <x:c r="B624" s="14" t="str">
        <x:v>TC00000019</x:v>
      </x:c>
      <x:c r="C624" s="17" t="n">
        <x:v>58.8597</x:v>
      </x:c>
      <x:c r="D624" s="17" t="n">
        <x:v>57.9031</x:v>
      </x:c>
      <x:c r="E624" s="17" t="n">
        <x:f>C624-D624</x:f>
        <x:v>0.9565999999999946</x:v>
      </x:c>
      <x:c r="F624" s="20" t="n">
        <x:f>IFERROR(E624/C624,0)</x:f>
        <x:v>0.01625220651821186</x:v>
      </x:c>
      <x:c r="G624" s="23" t="n">
        <x:v>1004</x:v>
      </x:c>
      <x:c r="H624" s="23" t="n">
        <x:v>135</x:v>
      </x:c>
      <x:c r="I624" s="23"/>
      <x:c r="J624" s="20"/>
      <x:c r="K624" s="26" t="n">
        <x:v>1</x:v>
      </x:c>
      <x:c r="L624" s="26" t="n">
        <x:v>1</x:v>
      </x:c>
      <x:c r="M624" s="14" t="str">
        <x:f>IF(AND(K624=1,L624=1),"both_correct",IF(K624=1,"vanilla_only",IF(L624=1,"candidate_only","both_wrong")))</x:f>
        <x:v>both_correct</x:v>
      </x:c>
      <x:c r="N624" s="26" t="n">
        <x:v>0</x:v>
      </x:c>
      <x:c r="O624" s="26" t="n">
        <x:v>0</x:v>
      </x:c>
    </x:row>
    <x:row r="625" ht="21" customHeight="1">
      <x:c r="A625" s="14" t="str">
        <x:v>ReAct 白盒机器数据分析</x:v>
      </x:c>
      <x:c r="B625" s="14" t="str">
        <x:v>TC00000020</x:v>
      </x:c>
      <x:c r="C625" s="17" t="n">
        <x:v>41.9614</x:v>
      </x:c>
      <x:c r="D625" s="17" t="n">
        <x:v>58.9282</x:v>
      </x:c>
      <x:c r="E625" s="17" t="n">
        <x:f>C625-D625</x:f>
        <x:v>-16.9668</x:v>
      </x:c>
      <x:c r="F625" s="20" t="n">
        <x:f>IFERROR(E625/C625,0)</x:f>
        <x:v>-0.4043430390787724</x:v>
      </x:c>
      <x:c r="G625" s="23" t="n">
        <x:v>653</x:v>
      </x:c>
      <x:c r="H625" s="23" t="n">
        <x:v>116</x:v>
      </x:c>
      <x:c r="I625" s="23"/>
      <x:c r="J625" s="20"/>
      <x:c r="K625" s="26" t="n">
        <x:v>1</x:v>
      </x:c>
      <x:c r="L625" s="26" t="n">
        <x:v>1</x:v>
      </x:c>
      <x:c r="M625" s="14" t="str">
        <x:f>IF(AND(K625=1,L625=1),"both_correct",IF(K625=1,"vanilla_only",IF(L625=1,"candidate_only","both_wrong")))</x:f>
        <x:v>both_correct</x:v>
      </x:c>
      <x:c r="N625" s="26" t="n">
        <x:v>0</x:v>
      </x:c>
      <x:c r="O625" s="26" t="n">
        <x:v>0</x:v>
      </x:c>
    </x:row>
    <x:row r="626" ht="21" customHeight="1">
      <x:c r="A626" s="14" t="str">
        <x:v>ReAct 白盒机器数据分析</x:v>
      </x:c>
      <x:c r="B626" s="14" t="str">
        <x:v>TC00000021</x:v>
      </x:c>
      <x:c r="C626" s="17" t="n">
        <x:v>59.476</x:v>
      </x:c>
      <x:c r="D626" s="17" t="n">
        <x:v>67.2023</x:v>
      </x:c>
      <x:c r="E626" s="17" t="n">
        <x:f>C626-D626</x:f>
        <x:v>-7.726299999999995</x:v>
      </x:c>
      <x:c r="F626" s="20" t="n">
        <x:f>IFERROR(E626/C626,0)</x:f>
        <x:v>-0.1299061806442934</x:v>
      </x:c>
      <x:c r="G626" s="23" t="n">
        <x:v>996</x:v>
      </x:c>
      <x:c r="H626" s="23" t="n">
        <x:v>165</x:v>
      </x:c>
      <x:c r="I626" s="23"/>
      <x:c r="J626" s="20"/>
      <x:c r="K626" s="26" t="n">
        <x:v>1</x:v>
      </x:c>
      <x:c r="L626" s="26" t="n">
        <x:v>1</x:v>
      </x:c>
      <x:c r="M626" s="14" t="str">
        <x:f>IF(AND(K626=1,L626=1),"both_correct",IF(K626=1,"vanilla_only",IF(L626=1,"candidate_only","both_wrong")))</x:f>
        <x:v>both_correct</x:v>
      </x:c>
      <x:c r="N626" s="26" t="n">
        <x:v>0</x:v>
      </x:c>
      <x:c r="O626" s="26" t="n">
        <x:v>0</x:v>
      </x:c>
    </x:row>
    <x:row r="627" ht="21" customHeight="1">
      <x:c r="A627" s="14" t="str">
        <x:v>ReAct 白盒机器数据分析</x:v>
      </x:c>
      <x:c r="B627" s="14" t="str">
        <x:v>TC00000022</x:v>
      </x:c>
      <x:c r="C627" s="17" t="n">
        <x:v>57.2461</x:v>
      </x:c>
      <x:c r="D627" s="17" t="n">
        <x:v>75.5365</x:v>
      </x:c>
      <x:c r="E627" s="17" t="n">
        <x:f>C627-D627</x:f>
        <x:v>-18.290400000000005</x:v>
      </x:c>
      <x:c r="F627" s="20" t="n">
        <x:f>IFERROR(E627/C627,0)</x:f>
        <x:v>-0.3195047348203634</x:v>
      </x:c>
      <x:c r="G627" s="23" t="n">
        <x:v>877</x:v>
      </x:c>
      <x:c r="H627" s="23" t="n">
        <x:v>220</x:v>
      </x:c>
      <x:c r="I627" s="23"/>
      <x:c r="J627" s="20"/>
      <x:c r="K627" s="26" t="n">
        <x:v>1</x:v>
      </x:c>
      <x:c r="L627" s="26" t="n">
        <x:v>1</x:v>
      </x:c>
      <x:c r="M627" s="14" t="str">
        <x:f>IF(AND(K627=1,L627=1),"both_correct",IF(K627=1,"vanilla_only",IF(L627=1,"candidate_only","both_wrong")))</x:f>
        <x:v>both_correct</x:v>
      </x:c>
      <x:c r="N627" s="26" t="n">
        <x:v>0</x:v>
      </x:c>
      <x:c r="O627" s="26" t="n">
        <x:v>0</x:v>
      </x:c>
    </x:row>
    <x:row r="628" ht="21" customHeight="1">
      <x:c r="A628" s="14" t="str">
        <x:v>ReAct 白盒机器数据分析</x:v>
      </x:c>
      <x:c r="B628" s="14" t="str">
        <x:v>TC00000023</x:v>
      </x:c>
      <x:c r="C628" s="17" t="n">
        <x:v>62.1871</x:v>
      </x:c>
      <x:c r="D628" s="17" t="n">
        <x:v>93.2437</x:v>
      </x:c>
      <x:c r="E628" s="17" t="n">
        <x:f>C628-D628</x:f>
        <x:v>-31.056600000000003</x:v>
      </x:c>
      <x:c r="F628" s="20" t="n">
        <x:f>IFERROR(E628/C628,0)</x:f>
        <x:v>-0.4994058253239016</x:v>
      </x:c>
      <x:c r="G628" s="23" t="n">
        <x:v>975</x:v>
      </x:c>
      <x:c r="H628" s="23" t="n">
        <x:v>133</x:v>
      </x:c>
      <x:c r="I628" s="23"/>
      <x:c r="J628" s="20"/>
      <x:c r="K628" s="26" t="n">
        <x:v>1</x:v>
      </x:c>
      <x:c r="L628" s="26" t="n">
        <x:v>1</x:v>
      </x:c>
      <x:c r="M628" s="14" t="str">
        <x:f>IF(AND(K628=1,L628=1),"both_correct",IF(K628=1,"vanilla_only",IF(L628=1,"candidate_only","both_wrong")))</x:f>
        <x:v>both_correct</x:v>
      </x:c>
      <x:c r="N628" s="26" t="n">
        <x:v>0</x:v>
      </x:c>
      <x:c r="O628" s="26" t="n">
        <x:v>0</x:v>
      </x:c>
    </x:row>
    <x:row r="629" ht="21" customHeight="1">
      <x:c r="A629" s="14" t="str">
        <x:v>ReAct 白盒机器数据分析</x:v>
      </x:c>
      <x:c r="B629" s="14" t="str">
        <x:v>TC00000024</x:v>
      </x:c>
      <x:c r="C629" s="17" t="n">
        <x:v>76.1451</x:v>
      </x:c>
      <x:c r="D629" s="17" t="n">
        <x:v>105.5124</x:v>
      </x:c>
      <x:c r="E629" s="17" t="n">
        <x:f>C629-D629</x:f>
        <x:v>-29.3673</x:v>
      </x:c>
      <x:c r="F629" s="20" t="n">
        <x:f>IFERROR(E629/C629,0)</x:f>
        <x:v>-0.38567550636876174</x:v>
      </x:c>
      <x:c r="G629" s="23" t="n">
        <x:v>1194</x:v>
      </x:c>
      <x:c r="H629" s="23" t="n">
        <x:v>152</x:v>
      </x:c>
      <x:c r="I629" s="23"/>
      <x:c r="J629" s="20"/>
      <x:c r="K629" s="26" t="n">
        <x:v>1</x:v>
      </x:c>
      <x:c r="L629" s="26" t="n">
        <x:v>1</x:v>
      </x:c>
      <x:c r="M629" s="14" t="str">
        <x:f>IF(AND(K629=1,L629=1),"both_correct",IF(K629=1,"vanilla_only",IF(L629=1,"candidate_only","both_wrong")))</x:f>
        <x:v>both_correct</x:v>
      </x:c>
      <x:c r="N629" s="26" t="n">
        <x:v>0</x:v>
      </x:c>
      <x:c r="O629" s="26" t="n">
        <x:v>0</x:v>
      </x:c>
    </x:row>
    <x:row r="630" ht="21" customHeight="1">
      <x:c r="A630" s="14" t="str">
        <x:v>ReAct 白盒机器数据分析</x:v>
      </x:c>
      <x:c r="B630" s="14" t="str">
        <x:v>TC00000025</x:v>
      </x:c>
      <x:c r="C630" s="17" t="n">
        <x:v>77.4086</x:v>
      </x:c>
      <x:c r="D630" s="17" t="n">
        <x:v>112.927</x:v>
      </x:c>
      <x:c r="E630" s="17" t="n">
        <x:f>C630-D630</x:f>
        <x:v>-35.5184</x:v>
      </x:c>
      <x:c r="F630" s="20" t="n">
        <x:f>IFERROR(E630/C630,0)</x:f>
        <x:v>-0.4588430742837359</x:v>
      </x:c>
      <x:c r="G630" s="23" t="n">
        <x:v>1250</x:v>
      </x:c>
      <x:c r="H630" s="23" t="n">
        <x:v>125</x:v>
      </x:c>
      <x:c r="I630" s="23"/>
      <x:c r="J630" s="20"/>
      <x:c r="K630" s="26" t="n">
        <x:v>1</x:v>
      </x:c>
      <x:c r="L630" s="26" t="n">
        <x:v>1</x:v>
      </x:c>
      <x:c r="M630" s="14" t="str">
        <x:f>IF(AND(K630=1,L630=1),"both_correct",IF(K630=1,"vanilla_only",IF(L630=1,"candidate_only","both_wrong")))</x:f>
        <x:v>both_correct</x:v>
      </x:c>
      <x:c r="N630" s="26" t="n">
        <x:v>0</x:v>
      </x:c>
      <x:c r="O630" s="26" t="n">
        <x:v>0</x:v>
      </x:c>
    </x:row>
    <x:row r="631" ht="21" customHeight="1">
      <x:c r="A631" s="14" t="str">
        <x:v>ReAct 白盒机器数据分析</x:v>
      </x:c>
      <x:c r="B631" s="14" t="str">
        <x:v>TC00000026</x:v>
      </x:c>
      <x:c r="C631" s="17" t="n">
        <x:v>71.0839</x:v>
      </x:c>
      <x:c r="D631" s="17" t="n">
        <x:v>83.5641</x:v>
      </x:c>
      <x:c r="E631" s="17" t="n">
        <x:f>C631-D631</x:f>
        <x:v>-12.480199999999996</x:v>
      </x:c>
      <x:c r="F631" s="20" t="n">
        <x:f>IFERROR(E631/C631,0)</x:f>
        <x:v>-0.17556999545607369</x:v>
      </x:c>
      <x:c r="G631" s="23" t="n">
        <x:v>1096</x:v>
      </x:c>
      <x:c r="H631" s="23" t="n">
        <x:v>214</x:v>
      </x:c>
      <x:c r="I631" s="23"/>
      <x:c r="J631" s="20"/>
      <x:c r="K631" s="26" t="n">
        <x:v>1</x:v>
      </x:c>
      <x:c r="L631" s="26" t="n">
        <x:v>1</x:v>
      </x:c>
      <x:c r="M631" s="14" t="str">
        <x:f>IF(AND(K631=1,L631=1),"both_correct",IF(K631=1,"vanilla_only",IF(L631=1,"candidate_only","both_wrong")))</x:f>
        <x:v>both_correct</x:v>
      </x:c>
      <x:c r="N631" s="26" t="n">
        <x:v>0</x:v>
      </x:c>
      <x:c r="O631" s="26" t="n">
        <x:v>0</x:v>
      </x:c>
    </x:row>
    <x:row r="632" ht="21" customHeight="1">
      <x:c r="A632" s="14" t="str">
        <x:v>ReAct 白盒机器数据分析</x:v>
      </x:c>
      <x:c r="B632" s="14" t="str">
        <x:v>TC00000027</x:v>
      </x:c>
      <x:c r="C632" s="17" t="n">
        <x:v>63.613</x:v>
      </x:c>
      <x:c r="D632" s="17" t="n">
        <x:v>102.5383</x:v>
      </x:c>
      <x:c r="E632" s="17" t="n">
        <x:f>C632-D632</x:f>
        <x:v>-38.92530000000001</x:v>
      </x:c>
      <x:c r="F632" s="20" t="n">
        <x:f>IFERROR(E632/C632,0)</x:f>
        <x:v>-0.6119079433449139</x:v>
      </x:c>
      <x:c r="G632" s="23" t="n">
        <x:v>973</x:v>
      </x:c>
      <x:c r="H632" s="23" t="n">
        <x:v>142</x:v>
      </x:c>
      <x:c r="I632" s="23"/>
      <x:c r="J632" s="20"/>
      <x:c r="K632" s="26" t="n">
        <x:v>1</x:v>
      </x:c>
      <x:c r="L632" s="26" t="n">
        <x:v>1</x:v>
      </x:c>
      <x:c r="M632" s="14" t="str">
        <x:f>IF(AND(K632=1,L632=1),"both_correct",IF(K632=1,"vanilla_only",IF(L632=1,"candidate_only","both_wrong")))</x:f>
        <x:v>both_correct</x:v>
      </x:c>
      <x:c r="N632" s="26" t="n">
        <x:v>0</x:v>
      </x:c>
      <x:c r="O632" s="26" t="n">
        <x:v>0</x:v>
      </x:c>
    </x:row>
    <x:row r="633" ht="21" customHeight="1">
      <x:c r="A633" s="14" t="str">
        <x:v>ReAct 白盒机器数据分析</x:v>
      </x:c>
      <x:c r="B633" s="14" t="str">
        <x:v>TC00000028</x:v>
      </x:c>
      <x:c r="C633" s="17" t="n">
        <x:v>48.8841</x:v>
      </x:c>
      <x:c r="D633" s="17" t="n">
        <x:v>68.4183</x:v>
      </x:c>
      <x:c r="E633" s="17" t="n">
        <x:f>C633-D633</x:f>
        <x:v>-19.534200000000006</x:v>
      </x:c>
      <x:c r="F633" s="20" t="n">
        <x:f>IFERROR(E633/C633,0)</x:f>
        <x:v>-0.3996023246822588</x:v>
      </x:c>
      <x:c r="G633" s="23" t="n">
        <x:v>1345</x:v>
      </x:c>
      <x:c r="H633" s="23" t="n">
        <x:v>155</x:v>
      </x:c>
      <x:c r="I633" s="23"/>
      <x:c r="J633" s="20"/>
      <x:c r="K633" s="26" t="n">
        <x:v>1</x:v>
      </x:c>
      <x:c r="L633" s="26" t="n">
        <x:v>1</x:v>
      </x:c>
      <x:c r="M633" s="14" t="str">
        <x:f>IF(AND(K633=1,L633=1),"both_correct",IF(K633=1,"vanilla_only",IF(L633=1,"candidate_only","both_wrong")))</x:f>
        <x:v>both_correct</x:v>
      </x:c>
      <x:c r="N633" s="26" t="n">
        <x:v>0</x:v>
      </x:c>
      <x:c r="O633" s="26" t="n">
        <x:v>0</x:v>
      </x:c>
    </x:row>
    <x:row r="634" ht="21" customHeight="1">
      <x:c r="A634" s="15" t="str">
        <x:v>ReAct 白盒机器数据分析</x:v>
      </x:c>
      <x:c r="B634" s="15" t="str">
        <x:v>TC00000029</x:v>
      </x:c>
      <x:c r="C634" s="18" t="n">
        <x:v>28.1124</x:v>
      </x:c>
      <x:c r="D634" s="18" t="n">
        <x:v>49.9013</x:v>
      </x:c>
      <x:c r="E634" s="18" t="n">
        <x:f>C634-D634</x:f>
        <x:v>-21.788899999999998</x:v>
      </x:c>
      <x:c r="F634" s="21" t="n">
        <x:f>IFERROR(E634/C634,0)</x:f>
        <x:v>-0.7750636729699348</x:v>
      </x:c>
      <x:c r="G634" s="24" t="n">
        <x:v>1373</x:v>
      </x:c>
      <x:c r="H634" s="24" t="n">
        <x:v>128</x:v>
      </x:c>
      <x:c r="I634" s="24"/>
      <x:c r="J634" s="21"/>
      <x:c r="K634" s="27" t="n">
        <x:v>1</x:v>
      </x:c>
      <x:c r="L634" s="27" t="n">
        <x:v>1</x:v>
      </x:c>
      <x:c r="M634" s="15" t="str">
        <x:f>IF(AND(K634=1,L634=1),"both_correct",IF(K634=1,"vanilla_only",IF(L634=1,"candidate_only","both_wrong")))</x:f>
        <x:v>both_correct</x:v>
      </x:c>
      <x:c r="N634" s="27" t="n">
        <x:v>0</x:v>
      </x:c>
      <x:c r="O634" s="27" t="n">
        <x:v>0</x:v>
      </x:c>
    </x:row>
  </x:sheetData>
  <x:conditionalFormatting sqref="E2:F634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8" hidden="0" customWidth="1"/>
  </x:cols>
  <x:sheetData>
    <x:row r="1" ht="28" customHeight="1">
      <x:c r="A1" s="68" t="str">
        <x:v>项目</x:v>
      </x:c>
      <x:c r="B1" s="68" t="str">
        <x:v>说明</x:v>
      </x:c>
    </x:row>
    <x:row r="2" ht="28" customHeight="1">
      <x:c r="A2" s="69" t="str">
        <x:v>对比</x:v>
      </x:c>
      <x:c r="B2" s="70" t="str">
        <x:v>run_12 DTB vs 量化增训 Vanilla</x:v>
      </x:c>
    </x:row>
    <x:row r="3" ht="28" customHeight="1">
      <x:c r="A3" s="69" t="str">
        <x:v>基线目录</x:v>
      </x:c>
      <x:c r="B3" s="70" t="str">
        <x:v>C:\Users\F-O-O\Projects\TB\docs\log\perf\run_08_quant&amp;post_train</x:v>
      </x:c>
    </x:row>
    <x:row r="4" ht="28" customHeight="1">
      <x:c r="A4" s="69" t="str">
        <x:v>候选目录</x:v>
      </x:c>
      <x:c r="B4" s="70" t="str">
        <x:v>C:\Users\F-O-O\Projects\TB\docs\log\perf\run_12</x:v>
      </x:c>
    </x:row>
    <x:row r="5" ht="28" customHeight="1">
      <x:c r="A5" s="69" t="str">
        <x:v>配对键</x:v>
      </x:c>
      <x:c r="B5" s="70" t="str">
        <x:v>规范化场景名 + QA_ID；缺失或重复时工作流直接失败</x:v>
      </x:c>
    </x:row>
    <x:row r="6" ht="28" customHeight="1">
      <x:c r="A6" s="69" t="str">
        <x:v>E2E gain</x:v>
      </x:c>
      <x:c r="B6" s="70" t="str">
        <x:v>量化增训 Vanilla E2E - run_12 DTB E2E；正值表示候选更快</x:v>
      </x:c>
    </x:row>
    <x:row r="7" ht="28" customHeight="1">
      <x:c r="A7" s="69" t="str">
        <x:v>E2E gain %</x:v>
      </x:c>
      <x:c r="B7" s="70" t="str">
        <x:v>每场景 mean(gain) / mean(量化增训 Vanilla E2E)</x:v>
      </x:c>
    </x:row>
    <x:row r="8" ht="28" customHeight="1">
      <x:c r="A8" s="69" t="str">
        <x:v>Token 比较</x:v>
      </x:c>
      <x:c r="B8" s="70" t="str">
        <x:v>不可比；run_08 Token数包含思考与回答，run_12 Token数仅记录 final，不能直接比较。</x:v>
      </x:c>
    </x:row>
    <x:row r="9" ht="28" customHeight="1">
      <x:c r="A9" s="69" t="str">
        <x:v>精度变化</x:v>
      </x:c>
      <x:c r="B9" s="70" t="str">
        <x:v>run_12 DTB Judge accuracy - 量化增训 Vanilla Judge accuracy</x:v>
      </x:c>
    </x:row>
    <x:row r="10" ht="28" customHeight="1">
      <x:c r="A10" s="69" t="str">
        <x:v>人工裁决</x:v>
      </x:c>
      <x:c r="B10" s="70" t="str">
        <x:v>无</x:v>
      </x:c>
    </x:row>
    <x:row r="11" ht="28" customHeight="1">
      <x:c r="A11" s="69" t="str">
        <x:v>宏平均</x:v>
      </x:c>
      <x:c r="B11" s="70" t="str">
        <x:v>13 个场景等权；百分比为场景级百分比的算术平均</x:v>
      </x:c>
    </x:row>
    <x:row r="12" ht="28" customHeight="1">
      <x:c r="A12" s="69" t="str">
        <x:v>微平均</x:v>
      </x:c>
      <x:c r="B12" s="70" t="str">
        <x:v>633 个配对请求等权</x:v>
      </x:c>
    </x:row>
    <x:row r="13" ht="28" customHeight="1">
      <x:c r="A13" s="69" t="str">
        <x:v>证据边界</x:v>
      </x:c>
      <x:c r="B13" s="70" t="str">
        <x:v>本工作簿复算本地实测结果，不代表重新运行 vLLM 性能实验</x:v>
      </x:c>
    </x:row>
    <x:row r="14" ht="28" customHeight="1">
      <x:c r="A14" s="71" t="str">
        <x:v>生成时间</x:v>
      </x:c>
      <x:c r="B14" s="72" t="str">
        <x:v>'2026-08-25T02:12:47.976617+00:00</x:v>
      </x:c>
    </x:row>
  </x:sheetData>
  <x:pageMargins left="0.7" right="0.7" top="0.75" bottom="0.75" header="0.3" footer="0.3"/>
</x:worksheet>
</file>